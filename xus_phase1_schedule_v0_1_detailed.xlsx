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スケジュール総括" sheetId="1" state="visible" r:id="rId3"/>
    <sheet name="現状棚卸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<sst xmlns="http://schemas.openxmlformats.org/spreadsheetml/2006/main" count="89" uniqueCount="81">
  <si>
    <r>
      <rPr>
        <b val="true"/>
        <sz val="16"/>
        <color rgb="FF1B2A4A"/>
        <rFont val="Meiryo UI"/>
        <family val="3"/>
        <charset val="1"/>
      </rPr>
      <t xml:space="preserve">XUS System — Phase1 Worker v0.1 </t>
    </r>
    <r>
      <rPr>
        <b val="true"/>
        <sz val="16"/>
        <color rgb="FF1B2A4A"/>
        <rFont val="Noto Sans CJK SC"/>
        <family val="2"/>
      </rPr>
      <t xml:space="preserve">開発スケジュール</t>
    </r>
  </si>
  <si>
    <r>
      <rPr>
        <sz val="11"/>
        <color rgb="FF666666"/>
        <rFont val="Noto Sans CJK SC"/>
        <family val="2"/>
      </rPr>
      <t xml:space="preserve">作成日</t>
    </r>
    <r>
      <rPr>
        <sz val="11"/>
        <color rgb="FF666666"/>
        <rFont val="Meiryo UI"/>
        <family val="3"/>
        <charset val="1"/>
      </rPr>
      <t xml:space="preserve">: 2026-02-12</t>
    </r>
    <r>
      <rPr>
        <sz val="11"/>
        <color rgb="FF666666"/>
        <rFont val="Noto Sans CJK SC"/>
        <family val="2"/>
      </rPr>
      <t xml:space="preserve">　</t>
    </r>
    <r>
      <rPr>
        <sz val="11"/>
        <color rgb="FF666666"/>
        <rFont val="Meiryo UI"/>
        <family val="3"/>
        <charset val="1"/>
      </rPr>
      <t xml:space="preserve">|</t>
    </r>
    <r>
      <rPr>
        <sz val="11"/>
        <color rgb="FF666666"/>
        <rFont val="Noto Sans CJK SC"/>
        <family val="2"/>
      </rPr>
      <t xml:space="preserve">　見積りレンジ</t>
    </r>
    <r>
      <rPr>
        <sz val="11"/>
        <color rgb="FF666666"/>
        <rFont val="Meiryo UI"/>
        <family val="3"/>
        <charset val="1"/>
      </rPr>
      <t xml:space="preserve">: 120–225h</t>
    </r>
    <r>
      <rPr>
        <sz val="11"/>
        <color rgb="FF666666"/>
        <rFont val="Noto Sans CJK SC"/>
        <family val="2"/>
      </rPr>
      <t xml:space="preserve">　</t>
    </r>
    <r>
      <rPr>
        <sz val="11"/>
        <color rgb="FF666666"/>
        <rFont val="Meiryo UI"/>
        <family val="3"/>
        <charset val="1"/>
      </rPr>
      <t xml:space="preserve">|</t>
    </r>
    <r>
      <rPr>
        <sz val="11"/>
        <color rgb="FF666666"/>
        <rFont val="Noto Sans CJK SC"/>
        <family val="2"/>
      </rPr>
      <t xml:space="preserve">　起点</t>
    </r>
    <r>
      <rPr>
        <sz val="11"/>
        <color rgb="FF666666"/>
        <rFont val="Meiryo UI"/>
        <family val="3"/>
        <charset val="1"/>
      </rPr>
      <t xml:space="preserve">: 2026-02-12 (JST)</t>
    </r>
  </si>
  <si>
    <r>
      <rPr>
        <b val="true"/>
        <sz val="12"/>
        <color rgb="FF1B2A4A"/>
        <rFont val="Meiryo UI"/>
        <family val="3"/>
        <charset val="1"/>
      </rPr>
      <t xml:space="preserve">1. </t>
    </r>
    <r>
      <rPr>
        <b val="true"/>
        <sz val="12"/>
        <color rgb="FF1B2A4A"/>
        <rFont val="Noto Sans CJK SC"/>
        <family val="2"/>
      </rPr>
      <t xml:space="preserve">フェーズ別工数・日程</t>
    </r>
  </si>
  <si>
    <t xml:space="preserve">フェーズ</t>
  </si>
  <si>
    <t xml:space="preserve">目的（完了ゲート）／実施内容</t>
  </si>
  <si>
    <t xml:space="preserve">工数（下限）</t>
  </si>
  <si>
    <t xml:space="preserve">工数（上限）</t>
  </si>
  <si>
    <r>
      <rPr>
        <b val="true"/>
        <sz val="11"/>
        <color rgb="FFFFFFFF"/>
        <rFont val="Noto Sans CJK SC"/>
        <family val="2"/>
      </rPr>
      <t xml:space="preserve">シナリオ</t>
    </r>
    <r>
      <rPr>
        <b val="true"/>
        <sz val="11"/>
        <color rgb="FFFFFFFF"/>
        <rFont val="Meiryo UI"/>
        <family val="3"/>
        <charset val="1"/>
      </rPr>
      <t xml:space="preserve">A
(</t>
    </r>
    <r>
      <rPr>
        <b val="true"/>
        <sz val="11"/>
        <color rgb="FFFFFFFF"/>
        <rFont val="Noto Sans CJK SC"/>
        <family val="2"/>
      </rPr>
      <t xml:space="preserve">週</t>
    </r>
    <r>
      <rPr>
        <b val="true"/>
        <sz val="11"/>
        <color rgb="FFFFFFFF"/>
        <rFont val="Meiryo UI"/>
        <family val="3"/>
        <charset val="1"/>
      </rPr>
      <t xml:space="preserve">20h) </t>
    </r>
    <r>
      <rPr>
        <b val="true"/>
        <sz val="11"/>
        <color rgb="FFFFFFFF"/>
        <rFont val="Noto Sans CJK SC"/>
        <family val="2"/>
      </rPr>
      <t xml:space="preserve">日程</t>
    </r>
  </si>
  <si>
    <r>
      <rPr>
        <b val="true"/>
        <sz val="11"/>
        <color rgb="FFFFFFFF"/>
        <rFont val="Noto Sans CJK SC"/>
        <family val="2"/>
      </rPr>
      <t xml:space="preserve">シナリオ</t>
    </r>
    <r>
      <rPr>
        <b val="true"/>
        <sz val="11"/>
        <color rgb="FFFFFFFF"/>
        <rFont val="Meiryo UI"/>
        <family val="3"/>
        <charset val="1"/>
      </rPr>
      <t xml:space="preserve">B
(</t>
    </r>
    <r>
      <rPr>
        <b val="true"/>
        <sz val="11"/>
        <color rgb="FFFFFFFF"/>
        <rFont val="Noto Sans CJK SC"/>
        <family val="2"/>
      </rPr>
      <t xml:space="preserve">週</t>
    </r>
    <r>
      <rPr>
        <b val="true"/>
        <sz val="11"/>
        <color rgb="FFFFFFFF"/>
        <rFont val="Meiryo UI"/>
        <family val="3"/>
        <charset val="1"/>
      </rPr>
      <t xml:space="preserve">12h) </t>
    </r>
    <r>
      <rPr>
        <b val="true"/>
        <sz val="11"/>
        <color rgb="FFFFFFFF"/>
        <rFont val="Noto Sans CJK SC"/>
        <family val="2"/>
      </rPr>
      <t xml:space="preserve">日程</t>
    </r>
  </si>
  <si>
    <r>
      <rPr>
        <b val="true"/>
        <sz val="11"/>
        <color rgb="FFFFFFFF"/>
        <rFont val="Noto Sans CJK SC"/>
        <family val="2"/>
      </rPr>
      <t xml:space="preserve">シナリオ</t>
    </r>
    <r>
      <rPr>
        <b val="true"/>
        <sz val="11"/>
        <color rgb="FFFFFFFF"/>
        <rFont val="Meiryo UI"/>
        <family val="3"/>
        <charset val="1"/>
      </rPr>
      <t xml:space="preserve">A
</t>
    </r>
    <r>
      <rPr>
        <b val="true"/>
        <sz val="11"/>
        <color rgb="FFFFFFFF"/>
        <rFont val="Noto Sans CJK SC"/>
        <family val="2"/>
      </rPr>
      <t xml:space="preserve">目安終了日</t>
    </r>
  </si>
  <si>
    <r>
      <rPr>
        <b val="true"/>
        <sz val="11"/>
        <color rgb="FFFFFFFF"/>
        <rFont val="Noto Sans CJK SC"/>
        <family val="2"/>
      </rPr>
      <t xml:space="preserve">シナリオ</t>
    </r>
    <r>
      <rPr>
        <b val="true"/>
        <sz val="11"/>
        <color rgb="FFFFFFFF"/>
        <rFont val="Meiryo UI"/>
        <family val="3"/>
        <charset val="1"/>
      </rPr>
      <t xml:space="preserve">B
</t>
    </r>
    <r>
      <rPr>
        <b val="true"/>
        <sz val="11"/>
        <color rgb="FFFFFFFF"/>
        <rFont val="Noto Sans CJK SC"/>
        <family val="2"/>
      </rPr>
      <t xml:space="preserve">目安終了日</t>
    </r>
  </si>
  <si>
    <t xml:space="preserve">Phase 0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</si>
  <si>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G0-1: </t>
    </r>
    <r>
      <rPr>
        <sz val="10"/>
        <rFont val="Noto Sans CJK SC"/>
        <family val="2"/>
      </rPr>
      <t xml:space="preserve">別端末起動再現
</t>
    </r>
    <r>
      <rPr>
        <sz val="10"/>
        <rFont val="Meiryo UI"/>
        <family val="3"/>
        <charset val="1"/>
      </rPr>
      <t xml:space="preserve">G0-2: Python→DB rowcount</t>
    </r>
    <r>
      <rPr>
        <sz val="10"/>
        <rFont val="Noto Sans CJK SC"/>
        <family val="2"/>
      </rPr>
      <t xml:space="preserve">確認
【実施内容】
① </t>
    </r>
    <r>
      <rPr>
        <sz val="10"/>
        <rFont val="Meiryo UI"/>
        <family val="3"/>
        <charset val="1"/>
      </rPr>
      <t xml:space="preserve">discoverV5 + coverage seed</t>
    </r>
    <r>
      <rPr>
        <sz val="10"/>
        <rFont val="Noto Sans CJK SC"/>
        <family val="2"/>
      </rPr>
      <t xml:space="preserve">済み環境の再現手順確認
② </t>
    </r>
    <r>
      <rPr>
        <sz val="10"/>
        <rFont val="Meiryo UI"/>
        <family val="3"/>
        <charset val="1"/>
      </rPr>
      <t xml:space="preserve">Git clone→pip install→config</t>
    </r>
    <r>
      <rPr>
        <sz val="10"/>
        <rFont val="Noto Sans CJK SC"/>
        <family val="2"/>
      </rPr>
      <t xml:space="preserve">設定→起動の一連手順を文書化
③ </t>
    </r>
    <r>
      <rPr>
        <sz val="10"/>
        <rFont val="Meiryo UI"/>
        <family val="3"/>
        <charset val="1"/>
      </rPr>
      <t xml:space="preserve">Python→PostgreSQL</t>
    </r>
    <r>
      <rPr>
        <sz val="10"/>
        <rFont val="Noto Sans CJK SC"/>
        <family val="2"/>
      </rPr>
      <t xml:space="preserve">接続テスト（</t>
    </r>
    <r>
      <rPr>
        <sz val="10"/>
        <rFont val="Meiryo UI"/>
        <family val="3"/>
        <charset val="1"/>
      </rPr>
      <t xml:space="preserve">xus_ohlcv_coverage rowcount</t>
    </r>
    <r>
      <rPr>
        <sz val="10"/>
        <rFont val="Noto Sans CJK SC"/>
        <family val="2"/>
      </rPr>
      <t xml:space="preserve">照合）
④ 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接続情報・</t>
    </r>
    <r>
      <rPr>
        <sz val="10"/>
        <rFont val="Meiryo UI"/>
        <family val="3"/>
        <charset val="1"/>
      </rPr>
      <t xml:space="preserve">API</t>
    </r>
    <r>
      <rPr>
        <sz val="10"/>
        <rFont val="Noto Sans CJK SC"/>
        <family val="2"/>
      </rPr>
      <t xml:space="preserve">エンドポイントの環境変数管理（</t>
    </r>
    <r>
      <rPr>
        <sz val="10"/>
        <rFont val="Meiryo UI"/>
        <family val="3"/>
        <charset val="1"/>
      </rPr>
      <t xml:space="preserve">.env</t>
    </r>
    <r>
      <rPr>
        <sz val="10"/>
        <rFont val="Noto Sans CJK SC"/>
        <family val="2"/>
      </rPr>
      <t xml:space="preserve">方式）
⑤ </t>
    </r>
    <r>
      <rPr>
        <sz val="10"/>
        <rFont val="Meiryo UI"/>
        <family val="3"/>
        <charset val="1"/>
      </rPr>
      <t xml:space="preserve">structlog</t>
    </r>
    <r>
      <rPr>
        <sz val="10"/>
        <rFont val="Noto Sans CJK SC"/>
        <family val="2"/>
      </rPr>
      <t xml:space="preserve">初期設定（</t>
    </r>
    <r>
      <rPr>
        <sz val="10"/>
        <rFont val="Meiryo UI"/>
        <family val="3"/>
        <charset val="1"/>
      </rPr>
      <t xml:space="preserve">JSON</t>
    </r>
    <r>
      <rPr>
        <sz val="10"/>
        <rFont val="Noto Sans CJK SC"/>
        <family val="2"/>
      </rPr>
      <t xml:space="preserve">出力・ログファイル出力先確定）</t>
    </r>
  </si>
  <si>
    <t xml:space="preserve">Phase 1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</si>
  <si>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pick→</t>
    </r>
    <r>
      <rPr>
        <sz val="10"/>
        <rFont val="Noto Sans CJK SC"/>
        <family val="2"/>
      </rPr>
      <t xml:space="preserve">最小</t>
    </r>
    <r>
      <rPr>
        <sz val="10"/>
        <rFont val="Meiryo UI"/>
        <family val="3"/>
        <charset val="1"/>
      </rPr>
      <t xml:space="preserve">OHLCV</t>
    </r>
    <r>
      <rPr>
        <sz val="10"/>
        <rFont val="Noto Sans CJK SC"/>
        <family val="2"/>
      </rPr>
      <t xml:space="preserve">取得→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更新→</t>
    </r>
    <r>
      <rPr>
        <sz val="10"/>
        <rFont val="Meiryo UI"/>
        <family val="3"/>
        <charset val="1"/>
      </rPr>
      <t xml:space="preserve">lease</t>
    </r>
    <r>
      <rPr>
        <sz val="10"/>
        <rFont val="Noto Sans CJK SC"/>
        <family val="2"/>
      </rPr>
      <t xml:space="preserve">解放の一巡確認
【実施内容】
① </t>
    </r>
    <r>
      <rPr>
        <sz val="10"/>
        <rFont val="Meiryo UI"/>
        <family val="3"/>
        <charset val="1"/>
      </rPr>
      <t xml:space="preserve">Config + structlog</t>
    </r>
    <r>
      <rPr>
        <sz val="10"/>
        <rFont val="Noto Sans CJK SC"/>
        <family val="2"/>
      </rPr>
      <t xml:space="preserve">構造化ログ設定（</t>
    </r>
    <r>
      <rPr>
        <sz val="10"/>
        <rFont val="Meiryo UI"/>
        <family val="3"/>
        <charset val="1"/>
      </rPr>
      <t xml:space="preserve">Step 1</t>
    </r>
    <r>
      <rPr>
        <sz val="10"/>
        <rFont val="Noto Sans CJK SC"/>
        <family val="2"/>
      </rPr>
      <t xml:space="preserve">）
② 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操作層の実装（</t>
    </r>
    <r>
      <rPr>
        <sz val="10"/>
        <rFont val="Meiryo UI"/>
        <family val="3"/>
        <charset val="1"/>
      </rPr>
      <t xml:space="preserve">xus_db_operations.py</t>
    </r>
    <r>
      <rPr>
        <sz val="10"/>
        <rFont val="Noto Sans CJK SC"/>
        <family val="2"/>
      </rPr>
      <t xml:space="preserve">）
  </t>
    </r>
    <r>
      <rPr>
        <sz val="10"/>
        <rFont val="Meiryo UI"/>
        <family val="3"/>
        <charset val="1"/>
      </rPr>
      <t xml:space="preserve">- pick_and_lease()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3"/>
        <charset val="1"/>
      </rPr>
      <t xml:space="preserve">SKIP LOCKED + lease</t>
    </r>
    <r>
      <rPr>
        <sz val="10"/>
        <rFont val="Noto Sans CJK SC"/>
        <family val="2"/>
      </rPr>
      <t xml:space="preserve">取得
  </t>
    </r>
    <r>
      <rPr>
        <sz val="10"/>
        <rFont val="Meiryo UI"/>
        <family val="3"/>
        <charset val="1"/>
      </rPr>
      <t xml:space="preserve">- extend_lease()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3"/>
        <charset val="1"/>
      </rPr>
      <t xml:space="preserve">heartbeat</t>
    </r>
    <r>
      <rPr>
        <sz val="10"/>
        <rFont val="Noto Sans CJK SC"/>
        <family val="2"/>
      </rPr>
      <t xml:space="preserve">延長
  </t>
    </r>
    <r>
      <rPr>
        <sz val="10"/>
        <rFont val="Meiryo UI"/>
        <family val="3"/>
        <charset val="1"/>
      </rPr>
      <t xml:space="preserve">- mark_complete()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3"/>
        <charset val="1"/>
      </rPr>
      <t xml:space="preserve">promote_to_phase2</t>
    </r>
    <r>
      <rPr>
        <sz val="10"/>
        <rFont val="Noto Sans CJK SC"/>
        <family val="2"/>
      </rPr>
      <t xml:space="preserve">）
  </t>
    </r>
    <r>
      <rPr>
        <sz val="10"/>
        <rFont val="Meiryo UI"/>
        <family val="3"/>
        <charset val="1"/>
      </rPr>
      <t xml:space="preserve">- mark_excluded() / mark_error()
③ advisory lock</t>
    </r>
    <r>
      <rPr>
        <sz val="10"/>
        <rFont val="Noto Sans CJK SC"/>
        <family val="2"/>
      </rPr>
      <t xml:space="preserve">取得（</t>
    </r>
    <r>
      <rPr>
        <sz val="10"/>
        <rFont val="Meiryo UI"/>
        <family val="3"/>
        <charset val="1"/>
      </rPr>
      <t xml:space="preserve">lock_conn / work_conn</t>
    </r>
    <r>
      <rPr>
        <sz val="10"/>
        <rFont val="Noto Sans CJK SC"/>
        <family val="2"/>
      </rPr>
      <t xml:space="preserve">分離）
④ </t>
    </r>
    <r>
      <rPr>
        <sz val="10"/>
        <rFont val="Meiryo UI"/>
        <family val="3"/>
        <charset val="1"/>
      </rPr>
      <t xml:space="preserve">GeckoTerminal API 5</t>
    </r>
    <r>
      <rPr>
        <sz val="10"/>
        <rFont val="Noto Sans CJK SC"/>
        <family val="2"/>
      </rPr>
      <t xml:space="preserve">分足</t>
    </r>
    <r>
      <rPr>
        <sz val="10"/>
        <rFont val="Meiryo UI"/>
        <family val="3"/>
        <charset val="1"/>
      </rPr>
      <t xml:space="preserve">OHLCV</t>
    </r>
    <r>
      <rPr>
        <sz val="10"/>
        <rFont val="Noto Sans CJK SC"/>
        <family val="2"/>
      </rPr>
      <t xml:space="preserve">取得（</t>
    </r>
    <r>
      <rPr>
        <sz val="10"/>
        <rFont val="Meiryo UI"/>
        <family val="3"/>
        <charset val="1"/>
      </rPr>
      <t xml:space="preserve">6h window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3"/>
        <charset val="1"/>
      </rPr>
      <t xml:space="preserve">1</t>
    </r>
    <r>
      <rPr>
        <sz val="10"/>
        <rFont val="Noto Sans CJK SC"/>
        <family val="2"/>
      </rPr>
      <t xml:space="preserve">件）
⑤ 最小メインループ：</t>
    </r>
    <r>
      <rPr>
        <sz val="10"/>
        <rFont val="Meiryo UI"/>
        <family val="3"/>
        <charset val="1"/>
      </rPr>
      <t xml:space="preserve">pick→</t>
    </r>
    <r>
      <rPr>
        <sz val="10"/>
        <rFont val="Noto Sans CJK SC"/>
        <family val="2"/>
      </rPr>
      <t xml:space="preserve">取得→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更新→</t>
    </r>
    <r>
      <rPr>
        <sz val="10"/>
        <rFont val="Meiryo UI"/>
        <family val="3"/>
        <charset val="1"/>
      </rPr>
      <t xml:space="preserve">lease</t>
    </r>
    <r>
      <rPr>
        <sz val="10"/>
        <rFont val="Noto Sans CJK SC"/>
        <family val="2"/>
      </rPr>
      <t xml:space="preserve">解放
⑥ 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状態遷移の正常系確認
  </t>
    </r>
    <r>
      <rPr>
        <sz val="10"/>
        <rFont val="Meiryo UI"/>
        <family val="3"/>
        <charset val="1"/>
      </rPr>
      <t xml:space="preserve">- active(ph1) → active(ph2)</t>
    </r>
    <r>
      <rPr>
        <sz val="10"/>
        <rFont val="Noto Sans CJK SC"/>
        <family val="2"/>
      </rPr>
      <t xml:space="preserve">昇格
  </t>
    </r>
    <r>
      <rPr>
        <sz val="10"/>
        <rFont val="Meiryo UI"/>
        <family val="3"/>
        <charset val="1"/>
      </rPr>
      <t xml:space="preserve">- active(ph1) → excluded(ph1)
⑦ test_db_ops.py </t>
    </r>
    <r>
      <rPr>
        <sz val="10"/>
        <rFont val="Noto Sans CJK SC"/>
        <family val="2"/>
      </rPr>
      <t xml:space="preserve">による単体テスト</t>
    </r>
  </si>
  <si>
    <t xml:space="preserve">Phase 2a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</si>
  <si>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1</t>
    </r>
    <r>
      <rPr>
        <sz val="10"/>
        <rFont val="Noto Sans CJK SC"/>
        <family val="2"/>
      </rPr>
      <t xml:space="preserve">件完走 </t>
    </r>
    <r>
      <rPr>
        <sz val="10"/>
        <rFont val="Meiryo UI"/>
        <family val="3"/>
        <charset val="1"/>
      </rPr>
      <t xml:space="preserve">+ Parquet</t>
    </r>
    <r>
      <rPr>
        <sz val="10"/>
        <rFont val="Noto Sans CJK SC"/>
        <family val="2"/>
      </rPr>
      <t xml:space="preserve">原子確定 </t>
    </r>
    <r>
      <rPr>
        <sz val="10"/>
        <rFont val="Meiryo UI"/>
        <family val="3"/>
        <charset val="1"/>
      </rPr>
      <t xml:space="preserve">+ DB</t>
    </r>
    <r>
      <rPr>
        <sz val="10"/>
        <rFont val="Noto Sans CJK SC"/>
        <family val="2"/>
      </rPr>
      <t xml:space="preserve">状態遷移完了
【実施内容】
① </t>
    </r>
    <r>
      <rPr>
        <sz val="10"/>
        <rFont val="Meiryo UI"/>
        <family val="3"/>
        <charset val="1"/>
      </rPr>
      <t xml:space="preserve">Parquet</t>
    </r>
    <r>
      <rPr>
        <sz val="10"/>
        <rFont val="Noto Sans CJK SC"/>
        <family val="2"/>
      </rPr>
      <t xml:space="preserve">原子書き込み実装（</t>
    </r>
    <r>
      <rPr>
        <sz val="10"/>
        <rFont val="Meiryo UI"/>
        <family val="3"/>
        <charset val="1"/>
      </rPr>
      <t xml:space="preserve">tmp→</t>
    </r>
    <r>
      <rPr>
        <sz val="10"/>
        <rFont val="Noto Sans CJK SC"/>
        <family val="2"/>
      </rPr>
      <t xml:space="preserve">検証→</t>
    </r>
    <r>
      <rPr>
        <sz val="10"/>
        <rFont val="Meiryo UI"/>
        <family val="3"/>
        <charset val="1"/>
      </rPr>
      <t xml:space="preserve">os.replace</t>
    </r>
    <r>
      <rPr>
        <sz val="10"/>
        <rFont val="Noto Sans CJK SC"/>
        <family val="2"/>
      </rPr>
      <t xml:space="preserve">）
② 既存ファイル検証（</t>
    </r>
    <r>
      <rPr>
        <sz val="10"/>
        <rFont val="Meiryo UI"/>
        <family val="3"/>
        <charset val="1"/>
      </rPr>
      <t xml:space="preserve">PyArrow</t>
    </r>
    <r>
      <rPr>
        <sz val="10"/>
        <rFont val="Noto Sans CJK SC"/>
        <family val="2"/>
      </rPr>
      <t xml:space="preserve">読込</t>
    </r>
    <r>
      <rPr>
        <sz val="10"/>
        <rFont val="Meiryo UI"/>
        <family val="3"/>
        <charset val="1"/>
      </rPr>
      <t xml:space="preserve">/</t>
    </r>
    <r>
      <rPr>
        <sz val="10"/>
        <rFont val="Noto Sans CJK SC"/>
        <family val="2"/>
      </rPr>
      <t xml:space="preserve">カラム</t>
    </r>
    <r>
      <rPr>
        <sz val="10"/>
        <rFont val="Meiryo UI"/>
        <family val="3"/>
        <charset val="1"/>
      </rPr>
      <t xml:space="preserve">/ts</t>
    </r>
    <r>
      <rPr>
        <sz val="10"/>
        <rFont val="Noto Sans CJK SC"/>
        <family val="2"/>
      </rPr>
      <t xml:space="preserve">範囲</t>
    </r>
    <r>
      <rPr>
        <sz val="10"/>
        <rFont val="Meiryo UI"/>
        <family val="3"/>
        <charset val="1"/>
      </rPr>
      <t xml:space="preserve">/</t>
    </r>
    <r>
      <rPr>
        <sz val="10"/>
        <rFont val="Noto Sans CJK SC"/>
        <family val="2"/>
      </rPr>
      <t xml:space="preserve">メタ）
③ </t>
    </r>
    <r>
      <rPr>
        <sz val="10"/>
        <rFont val="Meiryo UI"/>
        <family val="3"/>
        <charset val="1"/>
      </rPr>
      <t xml:space="preserve">corrupt</t>
    </r>
    <r>
      <rPr>
        <sz val="10"/>
        <rFont val="Noto Sans CJK SC"/>
        <family val="2"/>
      </rPr>
      <t xml:space="preserve">退避（</t>
    </r>
    <r>
      <rPr>
        <sz val="10"/>
        <rFont val="Meiryo UI"/>
        <family val="3"/>
        <charset val="1"/>
      </rPr>
      <t xml:space="preserve">.parquet.corrupt</t>
    </r>
    <r>
      <rPr>
        <sz val="10"/>
        <rFont val="Noto Sans CJK SC"/>
        <family val="2"/>
      </rPr>
      <t xml:space="preserve">、削除しない）
④ </t>
    </r>
    <r>
      <rPr>
        <sz val="10"/>
        <rFont val="Meiryo UI"/>
        <family val="3"/>
        <charset val="1"/>
      </rPr>
      <t xml:space="preserve">VOL0_15M</t>
    </r>
    <r>
      <rPr>
        <sz val="10"/>
        <rFont val="Noto Sans CJK SC"/>
        <family val="2"/>
      </rPr>
      <t xml:space="preserve">判定（連続</t>
    </r>
    <r>
      <rPr>
        <sz val="10"/>
        <rFont val="Meiryo UI"/>
        <family val="3"/>
        <charset val="1"/>
      </rPr>
      <t xml:space="preserve">3</t>
    </r>
    <r>
      <rPr>
        <sz val="10"/>
        <rFont val="Noto Sans CJK SC"/>
        <family val="2"/>
      </rPr>
      <t xml:space="preserve">本</t>
    </r>
    <r>
      <rPr>
        <sz val="10"/>
        <rFont val="Meiryo UI"/>
        <family val="3"/>
        <charset val="1"/>
      </rPr>
      <t xml:space="preserve">=15</t>
    </r>
    <r>
      <rPr>
        <sz val="10"/>
        <rFont val="Noto Sans CJK SC"/>
        <family val="2"/>
      </rPr>
      <t xml:space="preserve">分 </t>
    </r>
    <r>
      <rPr>
        <sz val="10"/>
        <rFont val="Meiryo UI"/>
        <family val="3"/>
        <charset val="1"/>
      </rPr>
      <t xml:space="preserve">Volume=0 → excluded</t>
    </r>
    <r>
      <rPr>
        <sz val="10"/>
        <rFont val="Noto Sans CJK SC"/>
        <family val="2"/>
      </rPr>
      <t xml:space="preserve">、保存なし）
⑤ </t>
    </r>
    <r>
      <rPr>
        <sz val="10"/>
        <rFont val="Meiryo UI"/>
        <family val="3"/>
        <charset val="1"/>
      </rPr>
      <t xml:space="preserve">CODE:STREAK</t>
    </r>
    <r>
      <rPr>
        <sz val="10"/>
        <rFont val="Noto Sans CJK SC"/>
        <family val="2"/>
      </rPr>
      <t xml:space="preserve">方式 </t>
    </r>
    <r>
      <rPr>
        <sz val="10"/>
        <rFont val="Meiryo UI"/>
        <family val="3"/>
        <charset val="1"/>
      </rPr>
      <t xml:space="preserve">end_reason</t>
    </r>
    <r>
      <rPr>
        <sz val="10"/>
        <rFont val="Noto Sans CJK SC"/>
        <family val="2"/>
      </rPr>
      <t xml:space="preserve">管理
  </t>
    </r>
    <r>
      <rPr>
        <sz val="10"/>
        <rFont val="Meiryo UI"/>
        <family val="3"/>
        <charset val="1"/>
      </rPr>
      <t xml:space="preserve">- update_end_reason() </t>
    </r>
    <r>
      <rPr>
        <sz val="10"/>
        <rFont val="Noto Sans CJK SC"/>
        <family val="2"/>
      </rPr>
      <t xml:space="preserve">純関数化 </t>
    </r>
    <r>
      <rPr>
        <sz val="10"/>
        <rFont val="Meiryo UI"/>
        <family val="3"/>
        <charset val="1"/>
      </rPr>
      <t xml:space="preserve">+ </t>
    </r>
    <r>
      <rPr>
        <sz val="10"/>
        <rFont val="Noto Sans CJK SC"/>
        <family val="2"/>
      </rPr>
      <t xml:space="preserve">単体テスト
⑥ エラーハンドリング純関数化
  </t>
    </r>
    <r>
      <rPr>
        <sz val="10"/>
        <rFont val="Meiryo UI"/>
        <family val="3"/>
        <charset val="1"/>
      </rPr>
      <t xml:space="preserve">- HTTP 429/404/400/5xx </t>
    </r>
    <r>
      <rPr>
        <sz val="10"/>
        <rFont val="Noto Sans CJK SC"/>
        <family val="2"/>
      </rPr>
      <t xml:space="preserve">分岐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空レスポンス・</t>
    </r>
    <r>
      <rPr>
        <sz val="10"/>
        <rFont val="Meiryo UI"/>
        <family val="3"/>
        <charset val="1"/>
      </rPr>
      <t xml:space="preserve">JSON</t>
    </r>
    <r>
      <rPr>
        <sz val="10"/>
        <rFont val="Noto Sans CJK SC"/>
        <family val="2"/>
      </rPr>
      <t xml:space="preserve">パースエラー
⑦ </t>
    </r>
    <r>
      <rPr>
        <sz val="10"/>
        <rFont val="Meiryo UI"/>
        <family val="3"/>
        <charset val="1"/>
      </rPr>
      <t xml:space="preserve">1</t>
    </r>
    <r>
      <rPr>
        <sz val="10"/>
        <rFont val="Noto Sans CJK SC"/>
        <family val="2"/>
      </rPr>
      <t xml:space="preserve">件完走の全工程確認
  </t>
    </r>
    <r>
      <rPr>
        <sz val="10"/>
        <rFont val="Meiryo UI"/>
        <family val="3"/>
        <charset val="1"/>
      </rPr>
      <t xml:space="preserve">- Parquet</t>
    </r>
    <r>
      <rPr>
        <sz val="10"/>
        <rFont val="Noto Sans CJK SC"/>
        <family val="2"/>
      </rPr>
      <t xml:space="preserve">ファイル実体確認（行数・</t>
    </r>
    <r>
      <rPr>
        <sz val="10"/>
        <rFont val="Meiryo UI"/>
        <family val="3"/>
        <charset val="1"/>
      </rPr>
      <t xml:space="preserve">ts</t>
    </r>
    <r>
      <rPr>
        <sz val="10"/>
        <rFont val="Noto Sans CJK SC"/>
        <family val="2"/>
      </rPr>
      <t xml:space="preserve">範囲・</t>
    </r>
    <r>
      <rPr>
        <sz val="10"/>
        <rFont val="Meiryo UI"/>
        <family val="3"/>
        <charset val="1"/>
      </rPr>
      <t xml:space="preserve">snappy</t>
    </r>
    <r>
      <rPr>
        <sz val="10"/>
        <rFont val="Noto Sans CJK SC"/>
        <family val="2"/>
      </rPr>
      <t xml:space="preserve">圧縮）
  </t>
    </r>
    <r>
      <rPr>
        <sz val="10"/>
        <rFont val="Meiryo UI"/>
        <family val="3"/>
        <charset val="1"/>
      </rPr>
      <t xml:space="preserve">- DB: phase=2, status=active, file_path</t>
    </r>
    <r>
      <rPr>
        <sz val="10"/>
        <rFont val="Noto Sans CJK SC"/>
        <family val="2"/>
      </rPr>
      <t xml:space="preserve">設定済み</t>
    </r>
  </si>
  <si>
    <t xml:space="preserve">Phase 2b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</si>
  <si>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10</t>
    </r>
    <r>
      <rPr>
        <sz val="10"/>
        <rFont val="Noto Sans CJK SC"/>
        <family val="2"/>
      </rPr>
      <t xml:space="preserve">件連続処理で冪等性 </t>
    </r>
    <r>
      <rPr>
        <sz val="10"/>
        <rFont val="Meiryo UI"/>
        <family val="3"/>
        <charset val="1"/>
      </rPr>
      <t xml:space="preserve">+ </t>
    </r>
    <r>
      <rPr>
        <sz val="10"/>
        <rFont val="Noto Sans CJK SC"/>
        <family val="2"/>
      </rPr>
      <t xml:space="preserve">主要異常系の期待挙動確認
【実施内容】
① </t>
    </r>
    <r>
      <rPr>
        <sz val="10"/>
        <rFont val="Meiryo UI"/>
        <family val="3"/>
        <charset val="1"/>
      </rPr>
      <t xml:space="preserve">max_rows_per_run=10 </t>
    </r>
    <r>
      <rPr>
        <sz val="10"/>
        <rFont val="Noto Sans CJK SC"/>
        <family val="2"/>
      </rPr>
      <t xml:space="preserve">への段階拡大
② 冪等性検証（同一タスク再実行→同一結果）
③ 主要異常系テスト
  </t>
    </r>
    <r>
      <rPr>
        <sz val="10"/>
        <rFont val="Meiryo UI"/>
        <family val="3"/>
        <charset val="1"/>
      </rPr>
      <t xml:space="preserve">- HTTP 429: exponential backoff</t>
    </r>
    <r>
      <rPr>
        <sz val="10"/>
        <rFont val="Noto Sans CJK SC"/>
        <family val="2"/>
      </rPr>
      <t xml:space="preserve">動作確認
  </t>
    </r>
    <r>
      <rPr>
        <sz val="10"/>
        <rFont val="Meiryo UI"/>
        <family val="3"/>
        <charset val="1"/>
      </rPr>
      <t xml:space="preserve">- HTTP 404: GAP_DETECTED streak</t>
    </r>
    <r>
      <rPr>
        <sz val="10"/>
        <rFont val="Noto Sans CJK SC"/>
        <family val="2"/>
      </rPr>
      <t xml:space="preserve">加算→閾値</t>
    </r>
    <r>
      <rPr>
        <sz val="10"/>
        <rFont val="Meiryo UI"/>
        <family val="3"/>
        <charset val="1"/>
      </rPr>
      <t xml:space="preserve">(M=5)</t>
    </r>
    <r>
      <rPr>
        <sz val="10"/>
        <rFont val="Noto Sans CJK SC"/>
        <family val="2"/>
      </rPr>
      <t xml:space="preserve">で </t>
    </r>
    <r>
      <rPr>
        <sz val="10"/>
        <rFont val="Meiryo UI"/>
        <family val="3"/>
        <charset val="1"/>
      </rPr>
      <t xml:space="preserve">excluded
  - Parquet</t>
    </r>
    <r>
      <rPr>
        <sz val="10"/>
        <rFont val="Noto Sans CJK SC"/>
        <family val="2"/>
      </rPr>
      <t xml:space="preserve">書き込み失敗</t>
    </r>
    <r>
      <rPr>
        <sz val="10"/>
        <rFont val="Meiryo UI"/>
        <family val="3"/>
        <charset val="1"/>
      </rPr>
      <t xml:space="preserve">: mark_error + </t>
    </r>
    <r>
      <rPr>
        <sz val="10"/>
        <rFont val="Noto Sans CJK SC"/>
        <family val="2"/>
      </rPr>
      <t xml:space="preserve">リトライ
  </t>
    </r>
    <r>
      <rPr>
        <sz val="10"/>
        <rFont val="Meiryo UI"/>
        <family val="3"/>
        <charset val="1"/>
      </rPr>
      <t xml:space="preserve">- db_update_0rows: lease</t>
    </r>
    <r>
      <rPr>
        <sz val="10"/>
        <rFont val="Noto Sans CJK SC"/>
        <family val="2"/>
      </rPr>
      <t xml:space="preserve">期限切れ競合の検知
④ </t>
    </r>
    <r>
      <rPr>
        <sz val="10"/>
        <rFont val="Meiryo UI"/>
        <family val="3"/>
        <charset val="1"/>
      </rPr>
      <t xml:space="preserve">heartbeat</t>
    </r>
    <r>
      <rPr>
        <sz val="10"/>
        <rFont val="Noto Sans CJK SC"/>
        <family val="2"/>
      </rPr>
      <t xml:space="preserve">延長タイミング検証（</t>
    </r>
    <r>
      <rPr>
        <sz val="10"/>
        <rFont val="Meiryo UI"/>
        <family val="3"/>
        <charset val="1"/>
      </rPr>
      <t xml:space="preserve">API</t>
    </r>
    <r>
      <rPr>
        <sz val="10"/>
        <rFont val="Noto Sans CJK SC"/>
        <family val="2"/>
      </rPr>
      <t xml:space="preserve">取得前後）
⑤ </t>
    </r>
    <r>
      <rPr>
        <sz val="10"/>
        <rFont val="Meiryo UI"/>
        <family val="3"/>
        <charset val="1"/>
      </rPr>
      <t xml:space="preserve">cleanup_expired_leases</t>
    </r>
    <r>
      <rPr>
        <sz val="10"/>
        <rFont val="Noto Sans CJK SC"/>
        <family val="2"/>
      </rPr>
      <t xml:space="preserve">（起動時</t>
    </r>
    <r>
      <rPr>
        <sz val="10"/>
        <rFont val="Meiryo UI"/>
        <family val="3"/>
        <charset val="1"/>
      </rPr>
      <t xml:space="preserve">stale lease</t>
    </r>
    <r>
      <rPr>
        <sz val="10"/>
        <rFont val="Noto Sans CJK SC"/>
        <family val="2"/>
      </rPr>
      <t xml:space="preserve">掃除）
⑥ ギャップ検出 </t>
    </r>
    <r>
      <rPr>
        <sz val="10"/>
        <rFont val="Meiryo UI"/>
        <family val="3"/>
        <charset val="1"/>
      </rPr>
      <t xml:space="preserve">N=3 </t>
    </r>
    <r>
      <rPr>
        <sz val="10"/>
        <rFont val="Noto Sans CJK SC"/>
        <family val="2"/>
      </rPr>
      <t xml:space="preserve">の動作確認
⑦ 連続処理時のリソース確認（メモリ・コネクション枯渇なし）
⑧ </t>
    </r>
    <r>
      <rPr>
        <sz val="10"/>
        <rFont val="Meiryo UI"/>
        <family val="3"/>
        <charset val="1"/>
      </rPr>
      <t xml:space="preserve">promote / excluded / error </t>
    </r>
    <r>
      <rPr>
        <sz val="10"/>
        <rFont val="Noto Sans CJK SC"/>
        <family val="2"/>
      </rPr>
      <t xml:space="preserve">各パスの実例蓄積</t>
    </r>
  </si>
  <si>
    <t xml:space="preserve">Phase 3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</si>
  <si>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24h+</t>
    </r>
    <r>
      <rPr>
        <sz val="10"/>
        <rFont val="Noto Sans CJK SC"/>
        <family val="2"/>
      </rPr>
      <t xml:space="preserve">連続運転成功 </t>
    </r>
    <r>
      <rPr>
        <sz val="10"/>
        <rFont val="Meiryo UI"/>
        <family val="3"/>
        <charset val="1"/>
      </rPr>
      <t xml:space="preserve">+ </t>
    </r>
    <r>
      <rPr>
        <sz val="10"/>
        <rFont val="Noto Sans CJK SC"/>
        <family val="2"/>
      </rPr>
      <t xml:space="preserve">復旧手順書完成
【実施内容】
① </t>
    </r>
    <r>
      <rPr>
        <sz val="10"/>
        <rFont val="Meiryo UI"/>
        <family val="3"/>
        <charset val="1"/>
      </rPr>
      <t xml:space="preserve">GlobalErrorMonitor</t>
    </r>
    <r>
      <rPr>
        <sz val="10"/>
        <rFont val="Noto Sans CJK SC"/>
        <family val="2"/>
      </rPr>
      <t xml:space="preserve">実装
  </t>
    </r>
    <r>
      <rPr>
        <sz val="10"/>
        <rFont val="Meiryo UI"/>
        <family val="3"/>
        <charset val="1"/>
      </rPr>
      <t xml:space="preserve">- 5</t>
    </r>
    <r>
      <rPr>
        <sz val="10"/>
        <rFont val="Noto Sans CJK SC"/>
        <family val="2"/>
      </rPr>
      <t xml:space="preserve">分キャッシュ、</t>
    </r>
    <r>
      <rPr>
        <sz val="10"/>
        <rFont val="Meiryo UI"/>
        <family val="3"/>
        <charset val="1"/>
      </rPr>
      <t xml:space="preserve">DB</t>
    </r>
    <r>
      <rPr>
        <sz val="10"/>
        <rFont val="Noto Sans CJK SC"/>
        <family val="2"/>
      </rPr>
      <t xml:space="preserve">集計ベース閾値監視
  </t>
    </r>
    <r>
      <rPr>
        <sz val="10"/>
        <rFont val="Meiryo UI"/>
        <family val="3"/>
        <charset val="1"/>
      </rPr>
      <t xml:space="preserve">- 429/404/5xx </t>
    </r>
    <r>
      <rPr>
        <sz val="10"/>
        <rFont val="Noto Sans CJK SC"/>
        <family val="2"/>
      </rPr>
      <t xml:space="preserve">各カウント → 閾値超過でプロセス停止
② </t>
    </r>
    <r>
      <rPr>
        <sz val="10"/>
        <rFont val="Meiryo UI"/>
        <family val="3"/>
        <charset val="1"/>
      </rPr>
      <t xml:space="preserve">WorkerMetrics</t>
    </r>
    <r>
      <rPr>
        <sz val="10"/>
        <rFont val="Noto Sans CJK SC"/>
        <family val="2"/>
      </rPr>
      <t xml:space="preserve">（軽量メトリクス）実装
  </t>
    </r>
    <r>
      <rPr>
        <sz val="10"/>
        <rFont val="Meiryo UI"/>
        <family val="3"/>
        <charset val="1"/>
      </rPr>
      <t xml:space="preserve">- tasks_picked/completed/excluded/error </t>
    </r>
    <r>
      <rPr>
        <sz val="10"/>
        <rFont val="Noto Sans CJK SC"/>
        <family val="2"/>
      </rPr>
      <t xml:space="preserve">集計
  </t>
    </r>
    <r>
      <rPr>
        <sz val="10"/>
        <rFont val="Meiryo UI"/>
        <family val="3"/>
        <charset val="1"/>
      </rPr>
      <t xml:space="preserve">- avg_processing_time / error_by_type
③ </t>
    </r>
    <r>
      <rPr>
        <sz val="10"/>
        <rFont val="Noto Sans CJK SC"/>
        <family val="2"/>
      </rPr>
      <t xml:space="preserve">長時間連続運転テスト（</t>
    </r>
    <r>
      <rPr>
        <sz val="10"/>
        <rFont val="Meiryo UI"/>
        <family val="3"/>
        <charset val="1"/>
      </rPr>
      <t xml:space="preserve">24h+</t>
    </r>
    <r>
      <rPr>
        <sz val="10"/>
        <rFont val="Noto Sans CJK SC"/>
        <family val="2"/>
      </rPr>
      <t xml:space="preserve">）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ログローテーション正常動作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ディスク使用量推移の確認
④ 復旧手順書の策定と検証
  </t>
    </r>
    <r>
      <rPr>
        <sz val="10"/>
        <rFont val="Meiryo UI"/>
        <family val="3"/>
        <charset val="1"/>
      </rPr>
      <t xml:space="preserve">- DB stale lease</t>
    </r>
    <r>
      <rPr>
        <sz val="10"/>
        <rFont val="Noto Sans CJK SC"/>
        <family val="2"/>
      </rPr>
      <t xml:space="preserve">掃除手順
  </t>
    </r>
    <r>
      <rPr>
        <sz val="10"/>
        <rFont val="Meiryo UI"/>
        <family val="3"/>
        <charset val="1"/>
      </rPr>
      <t xml:space="preserve">- corrupt Parquet</t>
    </r>
    <r>
      <rPr>
        <sz val="10"/>
        <rFont val="Noto Sans CJK SC"/>
        <family val="2"/>
      </rPr>
      <t xml:space="preserve">退避確認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異常停止→再起動手順
⑤ </t>
    </r>
    <r>
      <rPr>
        <sz val="10"/>
        <rFont val="Meiryo UI"/>
        <family val="3"/>
        <charset val="1"/>
      </rPr>
      <t xml:space="preserve">max_rows_per_run </t>
    </r>
    <r>
      <rPr>
        <sz val="10"/>
        <rFont val="Noto Sans CJK SC"/>
        <family val="2"/>
      </rPr>
      <t xml:space="preserve">制限解除 → 全件処理への移行</t>
    </r>
  </si>
  <si>
    <t xml:space="preserve">Phase 4</t>
  </si>
  <si>
    <r>
      <rPr>
        <sz val="10"/>
        <rFont val="Noto Sans CJK SC"/>
        <family val="2"/>
      </rPr>
      <t xml:space="preserve">【完了ゲート】
</t>
    </r>
    <r>
      <rPr>
        <sz val="10"/>
        <rFont val="Meiryo UI"/>
        <family val="3"/>
        <charset val="1"/>
      </rPr>
      <t xml:space="preserve">Phase2 OHLCV</t>
    </r>
    <r>
      <rPr>
        <sz val="10"/>
        <rFont val="Noto Sans CJK SC"/>
        <family val="2"/>
      </rPr>
      <t xml:space="preserve">収集 </t>
    </r>
    <r>
      <rPr>
        <sz val="10"/>
        <rFont val="Meiryo UI"/>
        <family val="3"/>
        <charset val="1"/>
      </rPr>
      <t xml:space="preserve">+ DCB</t>
    </r>
    <r>
      <rPr>
        <sz val="10"/>
        <rFont val="Noto Sans CJK SC"/>
        <family val="2"/>
      </rPr>
      <t xml:space="preserve">検出 </t>
    </r>
    <r>
      <rPr>
        <sz val="10"/>
        <rFont val="Meiryo UI"/>
        <family val="3"/>
        <charset val="1"/>
      </rPr>
      <t xml:space="preserve">+ </t>
    </r>
    <r>
      <rPr>
        <sz val="10"/>
        <rFont val="Noto Sans CJK SC"/>
        <family val="2"/>
      </rPr>
      <t xml:space="preserve">通知パイプライン稼働
【実施内容】
① </t>
    </r>
    <r>
      <rPr>
        <sz val="10"/>
        <rFont val="Meiryo UI"/>
        <family val="3"/>
        <charset val="1"/>
      </rPr>
      <t xml:space="preserve">Phase2 OHLCV</t>
    </r>
    <r>
      <rPr>
        <sz val="10"/>
        <rFont val="Noto Sans CJK SC"/>
        <family val="2"/>
      </rPr>
      <t xml:space="preserve">ワーカー設計・実装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最大</t>
    </r>
    <r>
      <rPr>
        <sz val="10"/>
        <rFont val="Meiryo UI"/>
        <family val="3"/>
        <charset val="1"/>
      </rPr>
      <t xml:space="preserve">10</t>
    </r>
    <r>
      <rPr>
        <sz val="10"/>
        <rFont val="Noto Sans CJK SC"/>
        <family val="2"/>
      </rPr>
      <t xml:space="preserve">日ポーリング（</t>
    </r>
    <r>
      <rPr>
        <sz val="10"/>
        <rFont val="Meiryo UI"/>
        <family val="3"/>
        <charset val="1"/>
      </rPr>
      <t xml:space="preserve">3</t>
    </r>
    <r>
      <rPr>
        <sz val="10"/>
        <rFont val="Noto Sans CJK SC"/>
        <family val="2"/>
      </rPr>
      <t xml:space="preserve">時間連続</t>
    </r>
    <r>
      <rPr>
        <sz val="10"/>
        <rFont val="Meiryo UI"/>
        <family val="3"/>
        <charset val="1"/>
      </rPr>
      <t xml:space="preserve">Vol0→</t>
    </r>
    <r>
      <rPr>
        <sz val="10"/>
        <rFont val="Noto Sans CJK SC"/>
        <family val="2"/>
      </rPr>
      <t xml:space="preserve">停止、停止まで保存○）
  </t>
    </r>
    <r>
      <rPr>
        <sz val="10"/>
        <rFont val="Meiryo UI"/>
        <family val="3"/>
        <charset val="1"/>
      </rPr>
      <t xml:space="preserve">- Phase1 worker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3"/>
        <charset val="1"/>
      </rPr>
      <t xml:space="preserve">fork + window</t>
    </r>
    <r>
      <rPr>
        <sz val="10"/>
        <rFont val="Noto Sans CJK SC"/>
        <family val="2"/>
      </rPr>
      <t xml:space="preserve">拡張
② </t>
    </r>
    <r>
      <rPr>
        <sz val="10"/>
        <rFont val="Meiryo UI"/>
        <family val="3"/>
        <charset val="1"/>
      </rPr>
      <t xml:space="preserve">DCB</t>
    </r>
    <r>
      <rPr>
        <sz val="10"/>
        <rFont val="Noto Sans CJK SC"/>
        <family val="2"/>
      </rPr>
      <t xml:space="preserve">パターン検出ロジック実装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入出力定義（</t>
    </r>
    <r>
      <rPr>
        <sz val="10"/>
        <rFont val="Meiryo UI"/>
        <family val="3"/>
        <charset val="1"/>
      </rPr>
      <t xml:space="preserve">OHLCV</t>
    </r>
    <r>
      <rPr>
        <sz val="10"/>
        <rFont val="Noto Sans CJK SC"/>
        <family val="2"/>
      </rPr>
      <t xml:space="preserve">データ→</t>
    </r>
    <r>
      <rPr>
        <sz val="10"/>
        <rFont val="Meiryo UI"/>
        <family val="3"/>
        <charset val="1"/>
      </rPr>
      <t xml:space="preserve">DCB</t>
    </r>
    <r>
      <rPr>
        <sz val="10"/>
        <rFont val="Noto Sans CJK SC"/>
        <family val="2"/>
      </rPr>
      <t xml:space="preserve">シグナル）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検出アルゴリズム設計・プロトタイプ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確定判定条件の策定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バックテスト検証（</t>
    </r>
    <r>
      <rPr>
        <sz val="10"/>
        <rFont val="Meiryo UI"/>
        <family val="3"/>
        <charset val="1"/>
      </rPr>
      <t xml:space="preserve">70_signals/backtest</t>
    </r>
    <r>
      <rPr>
        <sz val="10"/>
        <rFont val="Noto Sans CJK SC"/>
        <family val="2"/>
      </rPr>
      <t xml:space="preserve">）
③ </t>
    </r>
    <r>
      <rPr>
        <sz val="10"/>
        <rFont val="Meiryo UI"/>
        <family val="3"/>
        <charset val="1"/>
      </rPr>
      <t xml:space="preserve">DCB</t>
    </r>
    <r>
      <rPr>
        <sz val="10"/>
        <rFont val="Noto Sans CJK SC"/>
        <family val="2"/>
      </rPr>
      <t xml:space="preserve">通知パイプライン実装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通知先選定（</t>
    </r>
    <r>
      <rPr>
        <sz val="10"/>
        <rFont val="Meiryo UI"/>
        <family val="3"/>
        <charset val="1"/>
      </rPr>
      <t xml:space="preserve">Discord / Telegram / Email</t>
    </r>
    <r>
      <rPr>
        <sz val="10"/>
        <rFont val="Noto Sans CJK SC"/>
        <family val="2"/>
      </rPr>
      <t xml:space="preserve">等）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フィルタリング（確度閾値）
  </t>
    </r>
    <r>
      <rPr>
        <sz val="10"/>
        <rFont val="Meiryo UI"/>
        <family val="3"/>
        <charset val="1"/>
      </rPr>
      <t xml:space="preserve">- </t>
    </r>
    <r>
      <rPr>
        <sz val="10"/>
        <rFont val="Noto Sans CJK SC"/>
        <family val="2"/>
      </rPr>
      <t xml:space="preserve">重複排除（同一</t>
    </r>
    <r>
      <rPr>
        <sz val="10"/>
        <rFont val="Meiryo UI"/>
        <family val="3"/>
        <charset val="1"/>
      </rPr>
      <t xml:space="preserve">mint</t>
    </r>
    <r>
      <rPr>
        <sz val="10"/>
        <rFont val="Noto Sans CJK SC"/>
        <family val="2"/>
      </rPr>
      <t xml:space="preserve">再通知防止）
④ 特徴量抽出パイプライン（</t>
    </r>
    <r>
      <rPr>
        <sz val="10"/>
        <rFont val="Meiryo UI"/>
        <family val="3"/>
        <charset val="1"/>
      </rPr>
      <t xml:space="preserve">30_features</t>
    </r>
    <r>
      <rPr>
        <sz val="10"/>
        <rFont val="Noto Sans CJK SC"/>
        <family val="2"/>
      </rPr>
      <t xml:space="preserve">層）の基礎設計
⑤ データフロー</t>
    </r>
    <r>
      <rPr>
        <sz val="10"/>
        <rFont val="Meiryo UI"/>
        <family val="3"/>
        <charset val="1"/>
      </rPr>
      <t xml:space="preserve">: 10_raw → 20_clean → 30_features → 70_signals</t>
    </r>
  </si>
  <si>
    <t xml:space="preserve">予備</t>
  </si>
  <si>
    <r>
      <rPr>
        <sz val="10"/>
        <rFont val="Noto Sans CJK SC"/>
        <family val="2"/>
      </rPr>
      <t xml:space="preserve">【完了ゲート】
想定外事象の解消、全フェーズ安定化
【対応想定】
① </t>
    </r>
    <r>
      <rPr>
        <sz val="10"/>
        <rFont val="Meiryo UI"/>
        <family val="3"/>
        <charset val="1"/>
      </rPr>
      <t xml:space="preserve">API</t>
    </r>
    <r>
      <rPr>
        <sz val="10"/>
        <rFont val="Noto Sans CJK SC"/>
        <family val="2"/>
      </rPr>
      <t xml:space="preserve">仕様変更対応（</t>
    </r>
    <r>
      <rPr>
        <sz val="10"/>
        <rFont val="Meiryo UI"/>
        <family val="3"/>
        <charset val="1"/>
      </rPr>
      <t xml:space="preserve">GeckoTerminal </t>
    </r>
    <r>
      <rPr>
        <sz val="10"/>
        <rFont val="Noto Sans CJK SC"/>
        <family val="2"/>
      </rPr>
      <t xml:space="preserve">レスポンス形式変更）
② </t>
    </r>
    <r>
      <rPr>
        <sz val="10"/>
        <rFont val="Meiryo UI"/>
        <family val="3"/>
        <charset val="1"/>
      </rPr>
      <t xml:space="preserve">PostgreSQL</t>
    </r>
    <r>
      <rPr>
        <sz val="10"/>
        <rFont val="Noto Sans CJK SC"/>
        <family val="2"/>
      </rPr>
      <t xml:space="preserve">接続不安定時のリカバリ実装
③ </t>
    </r>
    <r>
      <rPr>
        <sz val="10"/>
        <rFont val="Meiryo UI"/>
        <family val="3"/>
        <charset val="1"/>
      </rPr>
      <t xml:space="preserve">Parquet</t>
    </r>
    <r>
      <rPr>
        <sz val="10"/>
        <rFont val="Noto Sans CJK SC"/>
        <family val="2"/>
      </rPr>
      <t xml:space="preserve">ファイル破損・ディスク容量逼迫対応
④ </t>
    </r>
    <r>
      <rPr>
        <sz val="10"/>
        <rFont val="Meiryo UI"/>
        <family val="3"/>
        <charset val="1"/>
      </rPr>
      <t xml:space="preserve">Windows</t>
    </r>
    <r>
      <rPr>
        <sz val="10"/>
        <rFont val="Noto Sans CJK SC"/>
        <family val="2"/>
      </rPr>
      <t xml:space="preserve">環境固有問題（パス長制限、ファイルロック等）
⑤ 環境差異対応（アンスバッハ </t>
    </r>
    <r>
      <rPr>
        <sz val="10"/>
        <rFont val="Meiryo UI"/>
        <family val="3"/>
        <charset val="1"/>
      </rPr>
      <t xml:space="preserve">vs </t>
    </r>
    <r>
      <rPr>
        <sz val="10"/>
        <rFont val="Noto Sans CJK SC"/>
        <family val="2"/>
      </rPr>
      <t xml:space="preserve">他端末）
⑥ </t>
    </r>
    <r>
      <rPr>
        <sz val="10"/>
        <rFont val="Meiryo UI"/>
        <family val="3"/>
        <charset val="1"/>
      </rPr>
      <t xml:space="preserve">GeckoTerminal</t>
    </r>
    <r>
      <rPr>
        <sz val="10"/>
        <rFont val="Noto Sans CJK SC"/>
        <family val="2"/>
      </rPr>
      <t xml:space="preserve">無料枠レート変更への適応</t>
    </r>
  </si>
  <si>
    <t xml:space="preserve">合計</t>
  </si>
  <si>
    <t xml:space="preserve">起点日</t>
  </si>
  <si>
    <r>
      <rPr>
        <b val="true"/>
        <sz val="11"/>
        <color rgb="FFFFFFFF"/>
        <rFont val="Noto Sans CJK SC"/>
        <family val="2"/>
      </rPr>
      <t xml:space="preserve">週あたり工数</t>
    </r>
    <r>
      <rPr>
        <b val="true"/>
        <sz val="11"/>
        <color rgb="FFFFFFFF"/>
        <rFont val="Meiryo UI"/>
        <family val="3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</si>
  <si>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週あたり工数</t>
    </r>
    <r>
      <rPr>
        <b val="true"/>
        <sz val="11"/>
        <color rgb="FFFFFFFF"/>
        <rFont val="Meiryo UI"/>
        <family val="3"/>
        <charset val="1"/>
      </rPr>
      <t xml:space="preserve">B</t>
    </r>
  </si>
  <si>
    <r>
      <rPr>
        <b val="true"/>
        <sz val="11"/>
        <color rgb="FFFFFFFF"/>
        <rFont val="Meiryo UI"/>
        <family val="3"/>
        <charset val="1"/>
      </rPr>
      <t xml:space="preserve">Phase2a </t>
    </r>
    <r>
      <rPr>
        <b val="true"/>
        <sz val="11"/>
        <color rgb="FFFFFFFF"/>
        <rFont val="Noto Sans CJK SC"/>
        <family val="2"/>
      </rPr>
      <t xml:space="preserve">実績</t>
    </r>
    <r>
      <rPr>
        <b val="true"/>
        <sz val="11"/>
        <color rgb="FFFFFFFF"/>
        <rFont val="Meiryo UI"/>
        <family val="3"/>
        <charset val="1"/>
      </rPr>
      <t xml:space="preserve">h</t>
    </r>
  </si>
  <si>
    <r>
      <rPr>
        <b val="true"/>
        <sz val="11"/>
        <color rgb="FFFFFFFF"/>
        <rFont val="Meiryo UI"/>
        <family val="3"/>
        <charset val="1"/>
      </rPr>
      <t xml:space="preserve">Phase2a </t>
    </r>
    <r>
      <rPr>
        <b val="true"/>
        <sz val="11"/>
        <color rgb="FFFFFFFF"/>
        <rFont val="Noto Sans CJK SC"/>
        <family val="2"/>
      </rPr>
      <t xml:space="preserve">実経過日数</t>
    </r>
  </si>
  <si>
    <r>
      <rPr>
        <b val="true"/>
        <sz val="12"/>
        <color rgb="FF1B2A4A"/>
        <rFont val="Meiryo UI"/>
        <family val="3"/>
        <charset val="1"/>
      </rPr>
      <t xml:space="preserve">2. </t>
    </r>
    <r>
      <rPr>
        <b val="true"/>
        <sz val="12"/>
        <color rgb="FF1B2A4A"/>
        <rFont val="Noto Sans CJK SC"/>
        <family val="2"/>
      </rPr>
      <t xml:space="preserve">着地見通し</t>
    </r>
  </si>
  <si>
    <t xml:space="preserve">シナリオ</t>
  </si>
  <si>
    <t xml:space="preserve">週あたり工数</t>
  </si>
  <si>
    <t xml:space="preserve">最短着地</t>
  </si>
  <si>
    <t xml:space="preserve">標準着地</t>
  </si>
  <si>
    <t xml:space="preserve">条件</t>
  </si>
  <si>
    <r>
      <rPr>
        <sz val="10"/>
        <rFont val="Noto Sans CJK SC"/>
        <family val="2"/>
      </rPr>
      <t xml:space="preserve">シナリオ</t>
    </r>
    <r>
      <rPr>
        <sz val="10"/>
        <rFont val="Meiryo UI"/>
        <family val="3"/>
        <charset val="1"/>
      </rPr>
      <t xml:space="preserve">A</t>
    </r>
    <r>
      <rPr>
        <sz val="10"/>
        <rFont val="Noto Sans CJK SC"/>
        <family val="2"/>
      </rPr>
      <t xml:space="preserve">（理想）</t>
    </r>
  </si>
  <si>
    <r>
      <rPr>
        <sz val="10"/>
        <rFont val="Noto Sans CJK SC"/>
        <family val="2"/>
      </rPr>
      <t xml:space="preserve">平日</t>
    </r>
    <r>
      <rPr>
        <sz val="10"/>
        <rFont val="Meiryo UI"/>
        <family val="3"/>
        <charset val="1"/>
      </rPr>
      <t xml:space="preserve">2h + </t>
    </r>
    <r>
      <rPr>
        <sz val="10"/>
        <rFont val="Noto Sans CJK SC"/>
        <family val="2"/>
      </rPr>
      <t xml:space="preserve">土日</t>
    </r>
    <r>
      <rPr>
        <sz val="10"/>
        <rFont val="Meiryo UI"/>
        <family val="3"/>
        <charset val="1"/>
      </rPr>
      <t xml:space="preserve">5h</t>
    </r>
  </si>
  <si>
    <r>
      <rPr>
        <sz val="10"/>
        <rFont val="Noto Sans CJK SC"/>
        <family val="2"/>
      </rPr>
      <t xml:space="preserve">シナリオ</t>
    </r>
    <r>
      <rPr>
        <sz val="10"/>
        <rFont val="Meiryo UI"/>
        <family val="3"/>
        <charset val="1"/>
      </rPr>
      <t xml:space="preserve">B</t>
    </r>
    <r>
      <rPr>
        <sz val="10"/>
        <rFont val="Noto Sans CJK SC"/>
        <family val="2"/>
      </rPr>
      <t xml:space="preserve">（現実寄り）</t>
    </r>
  </si>
  <si>
    <r>
      <rPr>
        <sz val="10"/>
        <rFont val="Noto Sans CJK SC"/>
        <family val="2"/>
      </rPr>
      <t xml:space="preserve">平日</t>
    </r>
    <r>
      <rPr>
        <sz val="10"/>
        <rFont val="Meiryo UI"/>
        <family val="3"/>
        <charset val="1"/>
      </rPr>
      <t xml:space="preserve">1h + </t>
    </r>
    <r>
      <rPr>
        <sz val="10"/>
        <rFont val="Noto Sans CJK SC"/>
        <family val="2"/>
      </rPr>
      <t xml:space="preserve">土日</t>
    </r>
    <r>
      <rPr>
        <sz val="10"/>
        <rFont val="Meiryo UI"/>
        <family val="3"/>
        <charset val="1"/>
      </rPr>
      <t xml:space="preserve">3.5h</t>
    </r>
  </si>
  <si>
    <r>
      <rPr>
        <sz val="10"/>
        <rFont val="Noto Sans CJK SC"/>
        <family val="2"/>
      </rPr>
      <t xml:space="preserve">実績反映（</t>
    </r>
    <r>
      <rPr>
        <sz val="10"/>
        <rFont val="Meiryo UI"/>
        <family val="3"/>
        <charset val="1"/>
      </rPr>
      <t xml:space="preserve">2a</t>
    </r>
    <r>
      <rPr>
        <sz val="10"/>
        <rFont val="Noto Sans CJK SC"/>
        <family val="2"/>
      </rPr>
      <t xml:space="preserve">完了後）</t>
    </r>
  </si>
  <si>
    <r>
      <rPr>
        <sz val="10"/>
        <rFont val="Meiryo UI"/>
        <family val="3"/>
        <charset val="1"/>
      </rPr>
      <t xml:space="preserve">Phase2a</t>
    </r>
    <r>
      <rPr>
        <sz val="10"/>
        <rFont val="Noto Sans CJK SC"/>
        <family val="2"/>
      </rPr>
      <t xml:space="preserve">実績から自動反映</t>
    </r>
  </si>
  <si>
    <r>
      <rPr>
        <b val="true"/>
        <sz val="12"/>
        <color rgb="FF1B2A4A"/>
        <rFont val="Meiryo UI"/>
        <family val="3"/>
        <charset val="1"/>
      </rPr>
      <t xml:space="preserve">3. </t>
    </r>
    <r>
      <rPr>
        <b val="true"/>
        <sz val="12"/>
        <color rgb="FF1B2A4A"/>
        <rFont val="Noto Sans CJK SC"/>
        <family val="2"/>
      </rPr>
      <t xml:space="preserve">再見積りルール</t>
    </r>
  </si>
  <si>
    <r>
      <rPr>
        <sz val="10"/>
        <rFont val="Meiryo UI"/>
        <family val="3"/>
        <charset val="1"/>
      </rPr>
      <t xml:space="preserve">  1.  Phase 2a </t>
    </r>
    <r>
      <rPr>
        <sz val="10"/>
        <rFont val="Noto Sans CJK SC"/>
        <family val="2"/>
      </rPr>
      <t xml:space="preserve">完了時点で、実カレンダー日数 </t>
    </r>
    <r>
      <rPr>
        <sz val="10"/>
        <rFont val="Meiryo UI"/>
        <family val="3"/>
        <charset val="1"/>
      </rPr>
      <t xml:space="preserve">÷ </t>
    </r>
    <r>
      <rPr>
        <sz val="10"/>
        <rFont val="Noto Sans CJK SC"/>
        <family val="2"/>
      </rPr>
      <t xml:space="preserve">実作業時間 から「週あたり実績</t>
    </r>
    <r>
      <rPr>
        <sz val="10"/>
        <rFont val="Meiryo UI"/>
        <family val="3"/>
        <charset val="1"/>
      </rPr>
      <t xml:space="preserve">h</t>
    </r>
    <r>
      <rPr>
        <sz val="10"/>
        <rFont val="Noto Sans CJK SC"/>
        <family val="2"/>
      </rPr>
      <t xml:space="preserve">」を算出し、残フェーズの日程を再計算する。</t>
    </r>
  </si>
  <si>
    <r>
      <rPr>
        <sz val="10"/>
        <rFont val="Meiryo UI"/>
        <family val="3"/>
        <charset val="1"/>
      </rPr>
      <t xml:space="preserve">  2.  </t>
    </r>
    <r>
      <rPr>
        <sz val="10"/>
        <rFont val="Noto Sans CJK SC"/>
        <family val="2"/>
      </rPr>
      <t xml:space="preserve">シナリオ</t>
    </r>
    <r>
      <rPr>
        <sz val="10"/>
        <rFont val="Meiryo UI"/>
        <family val="3"/>
        <charset val="1"/>
      </rPr>
      <t xml:space="preserve">A/B</t>
    </r>
    <r>
      <rPr>
        <sz val="10"/>
        <rFont val="Noto Sans CJK SC"/>
        <family val="2"/>
      </rPr>
      <t xml:space="preserve">のどちらに近いかを判定し、以降はそちらの日程を正式採用とする。</t>
    </r>
  </si>
  <si>
    <r>
      <rPr>
        <sz val="10"/>
        <rFont val="Meiryo UI"/>
        <family val="3"/>
        <charset val="1"/>
      </rPr>
      <t xml:space="preserve">  3.  Phase 2a </t>
    </r>
    <r>
      <rPr>
        <sz val="10"/>
        <rFont val="Noto Sans CJK SC"/>
        <family val="2"/>
      </rPr>
      <t xml:space="preserve">の工数が見積り（</t>
    </r>
    <r>
      <rPr>
        <sz val="10"/>
        <rFont val="Meiryo UI"/>
        <family val="3"/>
        <charset val="1"/>
      </rPr>
      <t xml:space="preserve">15–25h</t>
    </r>
    <r>
      <rPr>
        <sz val="10"/>
        <rFont val="Noto Sans CJK SC"/>
        <family val="2"/>
      </rPr>
      <t xml:space="preserve">）のどこに着地したかで、</t>
    </r>
    <r>
      <rPr>
        <sz val="10"/>
        <rFont val="Meiryo UI"/>
        <family val="3"/>
        <charset val="1"/>
      </rPr>
      <t xml:space="preserve">Phase 2b </t>
    </r>
    <r>
      <rPr>
        <sz val="10"/>
        <rFont val="Noto Sans CJK SC"/>
        <family val="2"/>
      </rPr>
      <t xml:space="preserve">以降の係数を調整する。</t>
    </r>
  </si>
  <si>
    <r>
      <rPr>
        <b val="true"/>
        <sz val="16"/>
        <color rgb="FF1B2A4A"/>
        <rFont val="Arial"/>
        <family val="0"/>
        <charset val="1"/>
      </rPr>
      <t xml:space="preserve">XUS System — </t>
    </r>
    <r>
      <rPr>
        <b val="true"/>
        <sz val="16"/>
        <color rgb="FF1B2A4A"/>
        <rFont val="Noto Sans CJK SC"/>
        <family val="2"/>
      </rPr>
      <t xml:space="preserve">現状棚卸し（</t>
    </r>
    <r>
      <rPr>
        <b val="true"/>
        <sz val="16"/>
        <color rgb="FF1B2A4A"/>
        <rFont val="Arial"/>
        <family val="0"/>
        <charset val="1"/>
      </rPr>
      <t xml:space="preserve">Done / Validated / Draft</t>
    </r>
    <r>
      <rPr>
        <b val="true"/>
        <sz val="16"/>
        <color rgb="FF1B2A4A"/>
        <rFont val="Noto Sans CJK SC"/>
        <family val="2"/>
      </rPr>
      <t xml:space="preserve">）</t>
    </r>
  </si>
  <si>
    <t xml:space="preserve">判定基準: 「過信しない」運用に合わせ厳しめに判定</t>
  </si>
  <si>
    <t xml:space="preserve">ステータス</t>
  </si>
  <si>
    <t xml:space="preserve">対象</t>
  </si>
  <si>
    <t xml:space="preserve">内容</t>
  </si>
  <si>
    <t xml:space="preserve">備考</t>
  </si>
  <si>
    <t xml:space="preserve">Done ✅</t>
  </si>
  <si>
    <r>
      <rPr>
        <sz val="10"/>
        <rFont val="Arial"/>
        <family val="2"/>
        <charset val="1"/>
      </rPr>
      <t xml:space="preserve">discover</t>
    </r>
    <r>
      <rPr>
        <sz val="10"/>
        <rFont val="Noto Sans CJK SC"/>
        <family val="2"/>
      </rPr>
      <t xml:space="preserve">基盤</t>
    </r>
  </si>
  <si>
    <r>
      <rPr>
        <sz val="10"/>
        <rFont val="Arial"/>
        <family val="2"/>
        <charset val="1"/>
      </rPr>
      <t xml:space="preserve">429/</t>
    </r>
    <r>
      <rPr>
        <sz val="10"/>
        <rFont val="Noto Sans CJK SC"/>
        <family val="2"/>
      </rPr>
      <t xml:space="preserve">バックオフ</t>
    </r>
    <r>
      <rPr>
        <sz val="10"/>
        <rFont val="Arial"/>
        <family val="2"/>
        <charset val="1"/>
      </rPr>
      <t xml:space="preserve">/advisory lock/boundary</t>
    </r>
    <r>
      <rPr>
        <sz val="10"/>
        <rFont val="Noto Sans CJK SC"/>
        <family val="2"/>
      </rPr>
      <t xml:space="preserve">等 運用土台</t>
    </r>
  </si>
  <si>
    <t xml:space="preserve">安定稼働済み</t>
  </si>
  <si>
    <t xml:space="preserve">coverage seed</t>
  </si>
  <si>
    <r>
      <rPr>
        <sz val="10"/>
        <rFont val="Arial"/>
        <family val="2"/>
        <charset val="1"/>
      </rPr>
      <t xml:space="preserve">seed</t>
    </r>
    <r>
      <rPr>
        <sz val="10"/>
        <rFont val="Noto Sans CJK SC"/>
        <family val="2"/>
      </rPr>
      <t xml:space="preserve">済み </t>
    </r>
    <r>
      <rPr>
        <sz val="10"/>
        <rFont val="Arial"/>
        <family val="2"/>
        <charset val="1"/>
      </rPr>
      <t xml:space="preserve">+ </t>
    </r>
    <r>
      <rPr>
        <sz val="10"/>
        <rFont val="Noto Sans CJK SC"/>
        <family val="2"/>
      </rPr>
      <t xml:space="preserve">品質ゲート（境界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窓</t>
    </r>
    <r>
      <rPr>
        <sz val="10"/>
        <rFont val="Arial"/>
        <family val="2"/>
        <charset val="1"/>
      </rPr>
      <t xml:space="preserve">/NULL</t>
    </r>
    <r>
      <rPr>
        <sz val="10"/>
        <rFont val="Noto Sans CJK SC"/>
        <family val="2"/>
      </rPr>
      <t xml:space="preserve">）通過</t>
    </r>
  </si>
  <si>
    <r>
      <rPr>
        <sz val="10"/>
        <rFont val="Arial"/>
        <family val="2"/>
        <charset val="1"/>
      </rPr>
      <t xml:space="preserve">Phase1</t>
    </r>
    <r>
      <rPr>
        <sz val="10"/>
        <rFont val="Noto Sans CJK SC"/>
        <family val="2"/>
      </rPr>
      <t xml:space="preserve">台帳の前提成立</t>
    </r>
  </si>
  <si>
    <t xml:space="preserve">Validated ⚠️</t>
  </si>
  <si>
    <r>
      <rPr>
        <sz val="10"/>
        <rFont val="Arial"/>
        <family val="2"/>
        <charset val="1"/>
      </rPr>
      <t xml:space="preserve">Step1-3 </t>
    </r>
    <r>
      <rPr>
        <sz val="10"/>
        <rFont val="Noto Sans CJK SC"/>
        <family val="2"/>
      </rPr>
      <t xml:space="preserve">骨格</t>
    </r>
  </si>
  <si>
    <t xml:space="preserve">起動ログで schema_ok / lock_acquired / loop_ok 確認済み</t>
  </si>
  <si>
    <t xml:space="preserve">統合実装はこれから</t>
  </si>
  <si>
    <r>
      <rPr>
        <sz val="10"/>
        <rFont val="Arial"/>
        <family val="2"/>
        <charset val="1"/>
      </rPr>
      <t xml:space="preserve">Step4 SQL</t>
    </r>
    <r>
      <rPr>
        <sz val="10"/>
        <rFont val="Noto Sans CJK SC"/>
        <family val="2"/>
      </rPr>
      <t xml:space="preserve">テンプレ</t>
    </r>
  </si>
  <si>
    <r>
      <rPr>
        <sz val="10"/>
        <rFont val="Arial"/>
        <family val="2"/>
        <charset val="1"/>
      </rPr>
      <t xml:space="preserve">pgAdmin</t>
    </r>
    <r>
      <rPr>
        <sz val="10"/>
        <rFont val="Noto Sans CJK SC"/>
        <family val="2"/>
      </rPr>
      <t xml:space="preserve">で動作確認済み（</t>
    </r>
    <r>
      <rPr>
        <sz val="10"/>
        <rFont val="Arial"/>
        <family val="2"/>
        <charset val="1"/>
      </rPr>
      <t xml:space="preserve">pick/lease, mark_error</t>
    </r>
    <r>
      <rPr>
        <sz val="10"/>
        <rFont val="Noto Sans CJK SC"/>
        <family val="2"/>
      </rPr>
      <t xml:space="preserve">等）</t>
    </r>
  </si>
  <si>
    <r>
      <rPr>
        <sz val="10"/>
        <rFont val="Arial"/>
        <family val="2"/>
        <charset val="1"/>
      </rPr>
      <t xml:space="preserve">Python</t>
    </r>
    <r>
      <rPr>
        <sz val="10"/>
        <rFont val="Noto Sans CJK SC"/>
        <family val="2"/>
      </rPr>
      <t xml:space="preserve">関数化は未完</t>
    </r>
  </si>
  <si>
    <t xml:space="preserve">Draft 📋</t>
  </si>
  <si>
    <t xml:space="preserve">フェーズ運用方式</t>
  </si>
  <si>
    <r>
      <rPr>
        <sz val="10"/>
        <rFont val="Arial"/>
        <family val="2"/>
        <charset val="1"/>
      </rPr>
      <t xml:space="preserve">Week</t>
    </r>
    <r>
      <rPr>
        <sz val="10"/>
        <rFont val="Noto Sans CJK SC"/>
        <family val="2"/>
      </rPr>
      <t xml:space="preserve">廃止、完了ゲートで移行判断</t>
    </r>
  </si>
  <si>
    <t xml:space="preserve">方針確定済み</t>
  </si>
  <si>
    <r>
      <rPr>
        <sz val="10"/>
        <rFont val="Arial"/>
        <family val="2"/>
        <charset val="1"/>
      </rPr>
      <t xml:space="preserve">Parquet</t>
    </r>
    <r>
      <rPr>
        <sz val="10"/>
        <rFont val="Noto Sans CJK SC"/>
        <family val="2"/>
      </rPr>
      <t xml:space="preserve">方針</t>
    </r>
  </si>
  <si>
    <t xml:space="preserve">マージ禁止（OK→スキップ / NG→corrupt退避→全上書き）</t>
  </si>
  <si>
    <r>
      <rPr>
        <sz val="10"/>
        <rFont val="Arial"/>
        <family val="2"/>
        <charset val="1"/>
      </rPr>
      <t xml:space="preserve">volume=0 </t>
    </r>
    <r>
      <rPr>
        <sz val="10"/>
        <rFont val="Noto Sans CJK SC"/>
        <family val="2"/>
      </rPr>
      <t xml:space="preserve">処理</t>
    </r>
  </si>
  <si>
    <r>
      <rPr>
        <sz val="10"/>
        <rFont val="Arial"/>
        <family val="2"/>
        <charset val="1"/>
      </rPr>
      <t xml:space="preserve">VOL0_15M → excluded</t>
    </r>
    <r>
      <rPr>
        <sz val="10"/>
        <rFont val="Noto Sans CJK SC"/>
        <family val="2"/>
      </rPr>
      <t xml:space="preserve">（保存なし）</t>
    </r>
    <r>
      <rPr>
        <sz val="10"/>
        <rFont val="Arial"/>
        <family val="2"/>
        <charset val="1"/>
      </rPr>
      <t xml:space="preserve">+ </t>
    </r>
    <r>
      <rPr>
        <sz val="10"/>
        <rFont val="Noto Sans CJK SC"/>
        <family val="2"/>
      </rPr>
      <t xml:space="preserve">安全弁（再</t>
    </r>
    <r>
      <rPr>
        <sz val="10"/>
        <rFont val="Arial"/>
        <family val="2"/>
        <charset val="1"/>
      </rPr>
      <t xml:space="preserve">active</t>
    </r>
    <r>
      <rPr>
        <sz val="10"/>
        <rFont val="Noto Sans CJK SC"/>
        <family val="2"/>
      </rPr>
      <t xml:space="preserve">化可能）</t>
    </r>
  </si>
  <si>
    <r>
      <rPr>
        <sz val="10"/>
        <rFont val="Arial"/>
        <family val="2"/>
        <charset val="1"/>
      </rPr>
      <t xml:space="preserve">DCB</t>
    </r>
    <r>
      <rPr>
        <sz val="10"/>
        <rFont val="Noto Sans CJK SC"/>
        <family val="2"/>
      </rPr>
      <t xml:space="preserve">検出</t>
    </r>
  </si>
  <si>
    <r>
      <rPr>
        <sz val="10"/>
        <rFont val="Noto Sans CJK SC"/>
        <family val="2"/>
      </rPr>
      <t xml:space="preserve">取得</t>
    </r>
    <r>
      <rPr>
        <sz val="10"/>
        <rFont val="Arial"/>
        <family val="2"/>
        <charset val="1"/>
      </rPr>
      <t xml:space="preserve">OHLCV</t>
    </r>
    <r>
      <rPr>
        <sz val="10"/>
        <rFont val="Noto Sans CJK SC"/>
        <family val="2"/>
      </rPr>
      <t xml:space="preserve">から</t>
    </r>
    <r>
      <rPr>
        <sz val="10"/>
        <rFont val="Arial"/>
        <family val="2"/>
        <charset val="1"/>
      </rPr>
      <t xml:space="preserve">DCB</t>
    </r>
    <r>
      <rPr>
        <sz val="10"/>
        <rFont val="Noto Sans CJK SC"/>
        <family val="2"/>
      </rPr>
      <t xml:space="preserve">パターン検出（検出ロジック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確定判定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検証）</t>
    </r>
  </si>
  <si>
    <t xml:space="preserve">Phase2ワーカー（任意） / 入出力定義が先</t>
  </si>
  <si>
    <r>
      <rPr>
        <sz val="10"/>
        <rFont val="Arial"/>
        <family val="2"/>
        <charset val="1"/>
      </rPr>
      <t xml:space="preserve">DCB</t>
    </r>
    <r>
      <rPr>
        <sz val="10"/>
        <rFont val="Noto Sans CJK SC"/>
        <family val="2"/>
      </rPr>
      <t xml:space="preserve">通知</t>
    </r>
  </si>
  <si>
    <r>
      <rPr>
        <sz val="10"/>
        <rFont val="Noto Sans CJK SC"/>
        <family val="2"/>
      </rPr>
      <t xml:space="preserve">確定</t>
    </r>
    <r>
      <rPr>
        <sz val="10"/>
        <rFont val="Arial"/>
        <family val="2"/>
        <charset val="1"/>
      </rPr>
      <t xml:space="preserve">DCB</t>
    </r>
    <r>
      <rPr>
        <sz val="10"/>
        <rFont val="Noto Sans CJK SC"/>
        <family val="2"/>
      </rPr>
      <t xml:space="preserve">と一致する</t>
    </r>
    <r>
      <rPr>
        <sz val="10"/>
        <rFont val="Arial"/>
        <family val="2"/>
        <charset val="1"/>
      </rPr>
      <t xml:space="preserve">OHLCV</t>
    </r>
    <r>
      <rPr>
        <sz val="10"/>
        <rFont val="Noto Sans CJK SC"/>
        <family val="2"/>
      </rPr>
      <t xml:space="preserve">トークンを通知（フィルタ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重複排除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チャネル）</t>
    </r>
  </si>
  <si>
    <t xml:space="preserve">通知先(Discord/Telegram/Email等)を決める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</si>
</sst>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\h"/>
    <numFmt numFmtId="166" formatCode="m/d"/>
    <numFmt numFmtId="167" formatCode="yyyy\-mm\-dd"/>
    <numFmt numFmtId="168" formatCode="0&quot;h/週&quot;"/>
    <numFmt numFmtId="169" formatCode="0\h"/>
    <numFmt numFmtId="170" formatCode="0.0&quot;h/週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eiryo UI"/>
      <family val="3"/>
      <charset val="1"/>
    </font>
    <font>
      <b val="true"/>
      <sz val="16"/>
      <color rgb="FF1B2A4A"/>
      <name val="Meiryo UI"/>
      <family val="3"/>
      <charset val="1"/>
    </font>
    <font>
      <b val="true"/>
      <sz val="16"/>
      <color rgb="FF1B2A4A"/>
      <name val="Noto Sans CJK SC"/>
      <family val="2"/>
    </font>
    <font>
      <sz val="11"/>
      <color rgb="FF666666"/>
      <name val="Noto Sans CJK SC"/>
      <family val="2"/>
    </font>
    <font>
      <sz val="11"/>
      <color rgb="FF666666"/>
      <name val="Meiryo UI"/>
      <family val="3"/>
      <charset val="1"/>
    </font>
    <font>
      <b val="true"/>
      <sz val="12"/>
      <color rgb="FF1B2A4A"/>
      <name val="Meiryo UI"/>
      <family val="3"/>
      <charset val="1"/>
    </font>
    <font>
      <b val="true"/>
      <sz val="12"/>
      <color rgb="FF1B2A4A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eiryo UI"/>
      <family val="3"/>
      <charset val="1"/>
    </font>
    <font>
      <b val="true"/>
      <sz val="10"/>
      <name val="Meiryo UI"/>
      <family val="3"/>
      <charset val="1"/>
    </font>
    <font>
      <sz val="10"/>
      <name val="Noto Sans CJK SC"/>
      <family val="2"/>
    </font>
    <font>
      <sz val="10"/>
      <name val="Meiryo UI"/>
      <family val="3"/>
      <charset val="1"/>
    </font>
    <font>
      <b val="true"/>
      <sz val="10"/>
      <name val="Noto Sans CJK SC"/>
      <family val="2"/>
    </font>
    <font>
      <b val="true"/>
      <sz val="10"/>
      <color rgb="FF1B2A4A"/>
      <name val="Noto Sans CJK SC"/>
      <family val="2"/>
    </font>
    <font>
      <b val="true"/>
      <sz val="10"/>
      <color rgb="FF1B2A4A"/>
      <name val="Meiryo UI"/>
      <family val="3"/>
      <charset val="1"/>
    </font>
    <font>
      <b val="true"/>
      <sz val="16"/>
      <color rgb="FF1B2A4A"/>
      <name val="Arial"/>
      <family val="0"/>
      <charset val="1"/>
    </font>
    <font>
      <sz val="11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DF2F9"/>
      </patternFill>
    </fill>
    <fill>
      <patternFill patternType="solid">
        <fgColor rgb="FFEDF2F9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DF2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.75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62"/>
    <col collapsed="false" customWidth="true" hidden="false" outlineLevel="0" max="3" min="3" style="1" width="15.71"/>
    <col collapsed="false" customWidth="true" hidden="false" outlineLevel="0" max="4" min="4" style="1" width="15.42"/>
    <col collapsed="false" customWidth="true" hidden="false" outlineLevel="0" max="5" min="5" style="1" width="25.14"/>
    <col collapsed="false" customWidth="true" hidden="false" outlineLevel="0" max="6" min="6" style="1" width="16"/>
    <col collapsed="false" customWidth="true" hidden="false" outlineLevel="0" max="7" min="7" style="1" width="18.57"/>
    <col collapsed="false" customWidth="true" hidden="false" outlineLevel="0" max="8" min="8" style="1" width="13"/>
    <col collapsed="false" customWidth="false" hidden="false" outlineLevel="0" max="16384" min="9" style="1" width="8.7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27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39.5" hidden="false" customHeight="true" outlineLevel="0" collapsed="false">
      <c r="A6" s="6" t="s">
        <v>11</v>
      </c>
      <c r="B6" s="7" t="s">
        <v>12</v>
      </c>
      <c r="C6" s="8" t="n">
        <v>4</v>
      </c>
      <c r="D6" s="8" t="n">
        <v>8</v>
      </c>
      <c r="E6" s="9" t="str">
        <f aca="false">TEXT(C6/$D$14,"0.0")&amp;"–"&amp;TEXT(D6/$D$14,"0.0")&amp;"週"</f>
        <v>0.2–0.4週</v>
      </c>
      <c r="F6" s="9" t="str">
        <f aca="false">TEXT(C6/$F$14,"0.0")&amp;"–"&amp;TEXT(D6/$F$14,"0.0")&amp;"週"</f>
        <v>0.3–0.7週</v>
      </c>
      <c r="G6" s="10" t="n">
        <f aca="false">$B$14+ROUNDUP(SUM($D$6:D6)/$D$14*7,0)</f>
        <v>46068</v>
      </c>
      <c r="H6" s="10" t="n">
        <f aca="false">$B$14+ROUNDUP(SUM($D$6:D6)/$F$14*7,0)</f>
        <v>46070</v>
      </c>
    </row>
    <row r="7" customFormat="false" ht="210" hidden="false" customHeight="true" outlineLevel="0" collapsed="false">
      <c r="A7" s="11" t="s">
        <v>13</v>
      </c>
      <c r="B7" s="12" t="s">
        <v>14</v>
      </c>
      <c r="C7" s="13" t="n">
        <v>12</v>
      </c>
      <c r="D7" s="13" t="n">
        <v>24</v>
      </c>
      <c r="E7" s="14" t="str">
        <f aca="false">TEXT(C7/$D$14,"0.0")&amp;"–"&amp;TEXT(D7/$D$14,"0.0")&amp;"週"</f>
        <v>0.6–1.2週</v>
      </c>
      <c r="F7" s="14" t="str">
        <f aca="false">TEXT(C7/$F$14,"0.0")&amp;"–"&amp;TEXT(D7/$F$14,"0.0")&amp;"週"</f>
        <v>1.0–2.0週</v>
      </c>
      <c r="G7" s="15" t="n">
        <f aca="false">$B$14+ROUNDUP(SUM($D$6:D7)/$D$14*7,0)</f>
        <v>46077</v>
      </c>
      <c r="H7" s="15" t="n">
        <f aca="false">$B$14+ROUNDUP(SUM($D$6:D7)/$F$14*7,0)</f>
        <v>46084</v>
      </c>
    </row>
    <row r="8" customFormat="false" ht="210" hidden="false" customHeight="true" outlineLevel="0" collapsed="false">
      <c r="A8" s="6" t="s">
        <v>15</v>
      </c>
      <c r="B8" s="7" t="s">
        <v>16</v>
      </c>
      <c r="C8" s="8" t="n">
        <v>15</v>
      </c>
      <c r="D8" s="8" t="n">
        <v>25</v>
      </c>
      <c r="E8" s="9" t="str">
        <f aca="false">TEXT(C8/$D$14,"0.0")&amp;"–"&amp;TEXT(D8/$D$14,"0.0")&amp;"週"</f>
        <v>0.8–1.3週</v>
      </c>
      <c r="F8" s="9" t="str">
        <f aca="false">TEXT(C8/$F$14,"0.0")&amp;"–"&amp;TEXT(D8/$F$14,"0.0")&amp;"週"</f>
        <v>1.3–2.1週</v>
      </c>
      <c r="G8" s="10" t="n">
        <f aca="false">$B$14+ROUNDUP(SUM($D$6:D8)/$D$14*7,0)</f>
        <v>46085</v>
      </c>
      <c r="H8" s="10" t="n">
        <f aca="false">$B$14+ROUNDUP(SUM($D$6:D8)/$F$14*7,0)</f>
        <v>46099</v>
      </c>
    </row>
    <row r="9" customFormat="false" ht="210" hidden="false" customHeight="true" outlineLevel="0" collapsed="false">
      <c r="A9" s="11" t="s">
        <v>17</v>
      </c>
      <c r="B9" s="12" t="s">
        <v>18</v>
      </c>
      <c r="C9" s="13" t="n">
        <v>20</v>
      </c>
      <c r="D9" s="13" t="n">
        <v>40</v>
      </c>
      <c r="E9" s="14" t="str">
        <f aca="false">TEXT(C9/$D$14,"0.0")&amp;"–"&amp;TEXT(D9/$D$14,"0.0")&amp;"週"</f>
        <v>1.0–2.0週</v>
      </c>
      <c r="F9" s="14" t="str">
        <f aca="false">TEXT(C9/$F$14,"0.0")&amp;"–"&amp;TEXT(D9/$F$14,"0.0")&amp;"週"</f>
        <v>1.7–3.3週</v>
      </c>
      <c r="G9" s="15" t="n">
        <f aca="false">$B$14+ROUNDUP(SUM($D$6:D9)/$D$14*7,0)</f>
        <v>46099</v>
      </c>
      <c r="H9" s="15" t="n">
        <f aca="false">$B$14+ROUNDUP(SUM($D$6:D9)/$F$14*7,0)</f>
        <v>46122</v>
      </c>
    </row>
    <row r="10" customFormat="false" ht="195" hidden="false" customHeight="true" outlineLevel="0" collapsed="false">
      <c r="A10" s="6" t="s">
        <v>19</v>
      </c>
      <c r="B10" s="7" t="s">
        <v>20</v>
      </c>
      <c r="C10" s="8" t="n">
        <v>20</v>
      </c>
      <c r="D10" s="8" t="n">
        <v>35</v>
      </c>
      <c r="E10" s="9" t="str">
        <f aca="false">TEXT(C10/$D$14,"0.0")&amp;"–"&amp;TEXT(D10/$D$14,"0.0")&amp;"週"</f>
        <v>1.0–1.8週</v>
      </c>
      <c r="F10" s="9" t="str">
        <f aca="false">TEXT(C10/$F$14,"0.0")&amp;"–"&amp;TEXT(D10/$F$14,"0.0")&amp;"週"</f>
        <v>1.7–2.9週</v>
      </c>
      <c r="G10" s="10" t="n">
        <f aca="false">$B$14+ROUNDUP(SUM($D$6:D10)/$D$14*7,0)</f>
        <v>46112</v>
      </c>
      <c r="H10" s="10" t="n">
        <f aca="false">$B$14+ROUNDUP(SUM($D$6:D10)/$F$14*7,0)</f>
        <v>46142</v>
      </c>
    </row>
    <row r="11" customFormat="false" ht="229.5" hidden="false" customHeight="true" outlineLevel="0" collapsed="false">
      <c r="A11" s="6" t="s">
        <v>21</v>
      </c>
      <c r="B11" s="7" t="s">
        <v>22</v>
      </c>
      <c r="C11" s="8" t="n">
        <v>39</v>
      </c>
      <c r="D11" s="8" t="n">
        <v>73</v>
      </c>
      <c r="E11" s="9" t="str">
        <f aca="false">TEXT(C11/$D$14,"0.0")&amp;"–"&amp;TEXT(D11/$D$14,"0.0")&amp;"週"</f>
        <v>2.0–3.7週</v>
      </c>
      <c r="F11" s="9" t="str">
        <f aca="false">TEXT(C11/$F$14,"0.0")&amp;"–"&amp;TEXT(D11/$F$14,"0.0")&amp;"週"</f>
        <v>3.3–6.1週</v>
      </c>
      <c r="G11" s="10" t="n">
        <f aca="false">$B$14+ROUNDUP(SUM($D$6:D11)/$D$14*7,0)</f>
        <v>46137</v>
      </c>
      <c r="H11" s="10" t="n">
        <f aca="false">$B$14+ROUNDUP(SUM($D$6:D11)/$F$14*7,0)</f>
        <v>46185</v>
      </c>
    </row>
    <row r="12" customFormat="false" ht="159.75" hidden="false" customHeight="true" outlineLevel="0" collapsed="false">
      <c r="A12" s="16" t="s">
        <v>23</v>
      </c>
      <c r="B12" s="12" t="s">
        <v>24</v>
      </c>
      <c r="C12" s="13" t="n">
        <v>10</v>
      </c>
      <c r="D12" s="13" t="n">
        <v>20</v>
      </c>
      <c r="E12" s="14" t="str">
        <f aca="false">TEXT(C12/$D$14,"0.0")&amp;"–"&amp;TEXT(D12/$D$14,"0.0")&amp;"週"</f>
        <v>0.5–1.0週</v>
      </c>
      <c r="F12" s="14" t="str">
        <f aca="false">TEXT(C12/$F$14,"0.0")&amp;"–"&amp;TEXT(D12/$F$14,"0.0")&amp;"週"</f>
        <v>0.8–1.7週</v>
      </c>
      <c r="G12" s="15" t="n">
        <f aca="false">$B$14+ROUNDUP(SUM($D$6:D12)/$D$14*7,0)</f>
        <v>46144</v>
      </c>
      <c r="H12" s="15" t="n">
        <f aca="false">$B$14+ROUNDUP(SUM($D$6:D12)/$F$14*7,0)</f>
        <v>46197</v>
      </c>
    </row>
    <row r="13" customFormat="false" ht="30" hidden="false" customHeight="true" outlineLevel="0" collapsed="false">
      <c r="A13" s="17" t="s">
        <v>25</v>
      </c>
      <c r="B13" s="17"/>
      <c r="C13" s="18" t="n">
        <f aca="false">SUM(C6:C12)</f>
        <v>120</v>
      </c>
      <c r="D13" s="18" t="n">
        <f aca="false">SUM(D6:D12)</f>
        <v>225</v>
      </c>
      <c r="E13" s="17" t="str">
        <f aca="false">TEXT(C13/$D$14,"0.0")&amp;"–"&amp;TEXT(D13/$D$14,"0.0")&amp;"週"</f>
        <v>6.0–11.3週</v>
      </c>
      <c r="F13" s="17" t="str">
        <f aca="false">TEXT(C13/$F$14,"0.0")&amp;"–"&amp;TEXT(D13/$F$14,"0.0")&amp;"週"</f>
        <v>10.0–18.8週</v>
      </c>
      <c r="G13" s="17"/>
      <c r="H13" s="17"/>
    </row>
    <row r="14" customFormat="false" ht="30" hidden="false" customHeight="true" outlineLevel="0" collapsed="false">
      <c r="A14" s="5" t="s">
        <v>26</v>
      </c>
      <c r="B14" s="19" t="n">
        <v>46065</v>
      </c>
      <c r="C14" s="5" t="s">
        <v>27</v>
      </c>
      <c r="D14" s="20" t="n">
        <v>20</v>
      </c>
      <c r="E14" s="5" t="s">
        <v>28</v>
      </c>
      <c r="F14" s="20" t="n">
        <v>12</v>
      </c>
      <c r="G14" s="21" t="s">
        <v>29</v>
      </c>
      <c r="H14" s="22"/>
    </row>
    <row r="15" customFormat="false" ht="27.75" hidden="false" customHeight="true" outlineLevel="0" collapsed="false">
      <c r="A15" s="21" t="s">
        <v>30</v>
      </c>
      <c r="B15" s="21"/>
      <c r="C15" s="21"/>
      <c r="D15" s="21"/>
      <c r="E15" s="21"/>
      <c r="F15" s="21"/>
      <c r="G15" s="21"/>
      <c r="H15" s="21"/>
    </row>
    <row r="16" customFormat="false" ht="30" hidden="false" customHeight="true" outlineLevel="0" collapsed="false">
      <c r="A16" s="23" t="s">
        <v>31</v>
      </c>
    </row>
    <row r="17" customFormat="false" ht="27.75" hidden="false" customHeight="true" outlineLevel="0" collapsed="false">
      <c r="A17" s="5" t="s">
        <v>32</v>
      </c>
      <c r="B17" s="5" t="s">
        <v>33</v>
      </c>
      <c r="C17" s="5" t="s">
        <v>34</v>
      </c>
      <c r="D17" s="5" t="s">
        <v>35</v>
      </c>
      <c r="E17" s="5" t="s">
        <v>36</v>
      </c>
    </row>
    <row r="18" customFormat="false" ht="27.75" hidden="false" customHeight="true" outlineLevel="0" collapsed="false">
      <c r="A18" s="24" t="s">
        <v>37</v>
      </c>
      <c r="B18" s="25" t="n">
        <f aca="false">$D$14</f>
        <v>20</v>
      </c>
      <c r="C18" s="10" t="n">
        <f aca="false">$B$14+ROUNDUP($C$13/$D$14*7,0)</f>
        <v>46107</v>
      </c>
      <c r="D18" s="10" t="n">
        <f aca="false">$B$14+ROUNDUP($D$13/$D$14*7,0)</f>
        <v>46144</v>
      </c>
      <c r="E18" s="24" t="s">
        <v>38</v>
      </c>
    </row>
    <row r="19" customFormat="false" ht="27.75" hidden="false" customHeight="true" outlineLevel="0" collapsed="false">
      <c r="A19" s="26" t="s">
        <v>39</v>
      </c>
      <c r="B19" s="27" t="n">
        <f aca="false">$F$14</f>
        <v>12</v>
      </c>
      <c r="C19" s="15" t="n">
        <f aca="false">$B$14+ROUNDUP($C$13/$F$14*7,0)</f>
        <v>46135</v>
      </c>
      <c r="D19" s="15" t="n">
        <f aca="false">$B$14+ROUNDUP($D$13/$F$14*7,0)</f>
        <v>46197</v>
      </c>
      <c r="E19" s="26" t="s">
        <v>40</v>
      </c>
    </row>
    <row r="20" customFormat="false" ht="9.75" hidden="false" customHeight="true" outlineLevel="0" collapsed="false">
      <c r="A20" s="24" t="s">
        <v>41</v>
      </c>
      <c r="B20" s="25" t="str">
        <f aca="false">IF($H$14="","",$H$14)</f>
        <v/>
      </c>
      <c r="C20" s="10" t="str">
        <f aca="false">IF($H$14="","",$B$14+ROUNDUP($C$13/$H$14*7,0))</f>
        <v/>
      </c>
      <c r="D20" s="10" t="str">
        <f aca="false">IF($H$14="","",$B$14+ROUNDUP($D$13/$H$14*7,0))</f>
        <v/>
      </c>
      <c r="E20" s="9" t="s">
        <v>42</v>
      </c>
    </row>
    <row r="21" customFormat="false" ht="27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</row>
    <row r="22" customFormat="false" ht="30" hidden="false" customHeight="true" outlineLevel="0" collapsed="false">
      <c r="A22" s="4" t="s">
        <v>43</v>
      </c>
      <c r="B22" s="4"/>
      <c r="C22" s="4"/>
      <c r="D22" s="4"/>
      <c r="E22" s="4"/>
      <c r="F22" s="4"/>
      <c r="G22" s="4"/>
      <c r="H22" s="4"/>
    </row>
    <row r="23" customFormat="false" ht="30" hidden="false" customHeight="true" outlineLevel="0" collapsed="false">
      <c r="A23" s="29" t="s">
        <v>44</v>
      </c>
      <c r="B23" s="29"/>
      <c r="C23" s="29"/>
      <c r="D23" s="29"/>
      <c r="E23" s="29"/>
      <c r="F23" s="29"/>
      <c r="G23" s="29"/>
      <c r="H23" s="29"/>
    </row>
    <row r="24" customFormat="false" ht="30" hidden="false" customHeight="true" outlineLevel="0" collapsed="false">
      <c r="A24" s="30" t="s">
        <v>45</v>
      </c>
      <c r="B24" s="30"/>
      <c r="C24" s="30"/>
      <c r="D24" s="30"/>
      <c r="E24" s="30"/>
      <c r="F24" s="30"/>
      <c r="G24" s="30"/>
      <c r="H24" s="30"/>
    </row>
    <row r="25" customFormat="false" ht="57" hidden="false" customHeight="true" outlineLevel="0" collapsed="false">
      <c r="A25" s="31" t="s">
        <v>46</v>
      </c>
    </row>
    <row r="26" customFormat="false" ht="9.75" hidden="false" customHeight="true" outlineLevel="0" collapsed="false"/>
    <row r="27" customFormat="false" ht="27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</row>
    <row r="28" customFormat="false" ht="24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</row>
    <row r="29" customFormat="false" ht="24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</row>
    <row r="30" customFormat="false" ht="24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</row>
  </sheetData>
  <mergeCells count="12">
    <mergeCell ref="A1:H1"/>
    <mergeCell ref="A2:H2"/>
    <mergeCell ref="A4:H4"/>
    <mergeCell ref="A15:H15"/>
    <mergeCell ref="A21:H21"/>
    <mergeCell ref="A22:H22"/>
    <mergeCell ref="A23:H23"/>
    <mergeCell ref="A24:H24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36" hidden="false" customHeight="true" outlineLevel="0" collapsed="false">
      <c r="A1" s="32" t="s">
        <v>47</v>
      </c>
      <c r="B1" s="32"/>
      <c r="C1" s="32"/>
      <c r="D1" s="32"/>
    </row>
    <row r="2" customFormat="false" ht="21.75" hidden="false" customHeight="true" outlineLevel="0" collapsed="false">
      <c r="A2" s="33" t="s">
        <v>48</v>
      </c>
      <c r="B2" s="33"/>
      <c r="C2" s="33"/>
      <c r="D2" s="33"/>
    </row>
    <row r="4" customFormat="false" ht="30" hidden="false" customHeight="true" outlineLevel="0" collapsed="false">
      <c r="A4" s="34" t="s">
        <v>49</v>
      </c>
      <c r="B4" s="34" t="s">
        <v>50</v>
      </c>
      <c r="C4" s="34" t="s">
        <v>51</v>
      </c>
      <c r="D4" s="34" t="s">
        <v>52</v>
      </c>
    </row>
    <row r="5" customFormat="false" ht="31.5" hidden="false" customHeight="true" outlineLevel="0" collapsed="false">
      <c r="A5" s="35" t="s">
        <v>53</v>
      </c>
      <c r="B5" s="35" t="s">
        <v>54</v>
      </c>
      <c r="C5" s="36" t="s">
        <v>55</v>
      </c>
      <c r="D5" s="37" t="s">
        <v>56</v>
      </c>
    </row>
    <row r="6" customFormat="false" ht="31.5" hidden="false" customHeight="true" outlineLevel="0" collapsed="false">
      <c r="A6" s="35" t="s">
        <v>53</v>
      </c>
      <c r="B6" s="35" t="s">
        <v>57</v>
      </c>
      <c r="C6" s="36" t="s">
        <v>58</v>
      </c>
      <c r="D6" s="36" t="s">
        <v>59</v>
      </c>
    </row>
    <row r="7" customFormat="false" ht="31.5" hidden="false" customHeight="true" outlineLevel="0" collapsed="false">
      <c r="A7" s="38" t="s">
        <v>60</v>
      </c>
      <c r="B7" s="38" t="s">
        <v>61</v>
      </c>
      <c r="C7" s="39" t="s">
        <v>62</v>
      </c>
      <c r="D7" s="39" t="s">
        <v>63</v>
      </c>
    </row>
    <row r="8" customFormat="false" ht="31.5" hidden="false" customHeight="true" outlineLevel="0" collapsed="false">
      <c r="A8" s="38" t="s">
        <v>60</v>
      </c>
      <c r="B8" s="38" t="s">
        <v>64</v>
      </c>
      <c r="C8" s="40" t="s">
        <v>65</v>
      </c>
      <c r="D8" s="40" t="s">
        <v>66</v>
      </c>
    </row>
    <row r="9" customFormat="false" ht="31.5" hidden="false" customHeight="true" outlineLevel="0" collapsed="false">
      <c r="A9" s="41" t="s">
        <v>67</v>
      </c>
      <c r="B9" s="42" t="s">
        <v>68</v>
      </c>
      <c r="C9" s="43" t="s">
        <v>69</v>
      </c>
      <c r="D9" s="44" t="s">
        <v>70</v>
      </c>
    </row>
    <row r="10" customFormat="false" ht="31.5" hidden="false" customHeight="true" outlineLevel="0" collapsed="false">
      <c r="A10" s="41" t="s">
        <v>67</v>
      </c>
      <c r="B10" s="41" t="s">
        <v>71</v>
      </c>
      <c r="C10" s="44" t="s">
        <v>72</v>
      </c>
      <c r="D10" s="44" t="s">
        <v>70</v>
      </c>
    </row>
    <row r="11" customFormat="false" ht="31.5" hidden="false" customHeight="true" outlineLevel="0" collapsed="false">
      <c r="A11" s="41" t="s">
        <v>67</v>
      </c>
      <c r="B11" s="41" t="s">
        <v>73</v>
      </c>
      <c r="C11" s="43" t="s">
        <v>74</v>
      </c>
      <c r="D11" s="44" t="s">
        <v>70</v>
      </c>
    </row>
    <row r="12" customFormat="false" ht="31.5" hidden="false" customHeight="true" outlineLevel="0" collapsed="false">
      <c r="A12" s="41" t="s">
        <v>67</v>
      </c>
      <c r="B12" s="41" t="s">
        <v>75</v>
      </c>
      <c r="C12" s="45" t="s">
        <v>76</v>
      </c>
      <c r="D12" s="44" t="s">
        <v>77</v>
      </c>
    </row>
    <row r="13" customFormat="false" ht="31.5" hidden="false" customHeight="true" outlineLevel="0" collapsed="false">
      <c r="A13" s="41" t="s">
        <v>67</v>
      </c>
      <c r="B13" s="41" t="s">
        <v>78</v>
      </c>
      <c r="C13" s="45" t="s">
        <v>79</v>
      </c>
      <c r="D13" s="44" t="s">
        <v>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2026-02-12T12:33:57Z</dcterms:created>
  <dc:creator>openpyxl</dc:creator>
  <dc:description/>
  <dc:language>en-US</dc:language>
  <cp:lastModifiedBy>た 今野</cp:lastModifiedBy>
  <dcterms:modified xsi:type="dcterms:W3CDTF">2026-02-12T13:47:42Z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